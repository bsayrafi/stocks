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bsayrafi/Documents/pworkspace/stocks/data/"/>
    </mc:Choice>
  </mc:AlternateContent>
  <xr:revisionPtr revIDLastSave="0" documentId="13_ncr:1_{0F7976D4-4236-AE45-BE9A-ECCF62F8BE48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definedNames>
    <definedName name="_xlnm._FilterDatabase" localSheetId="0" hidden="1">Sheet1!$A$1:$ED$138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06" i="1" l="1"/>
  <c r="AG4" i="1"/>
  <c r="AG5" i="1"/>
  <c r="AG6" i="1"/>
  <c r="AG61" i="1"/>
  <c r="AG8" i="1"/>
  <c r="AG9" i="1"/>
  <c r="AG10" i="1"/>
  <c r="AG11" i="1"/>
  <c r="AG12" i="1"/>
  <c r="AG13" i="1"/>
  <c r="AG123" i="1"/>
  <c r="AG15" i="1"/>
  <c r="AG16" i="1"/>
  <c r="AG17" i="1"/>
  <c r="AG18" i="1"/>
  <c r="AG80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137" i="1"/>
  <c r="AG126" i="1"/>
  <c r="AG36" i="1"/>
  <c r="AG37" i="1"/>
  <c r="AG38" i="1"/>
  <c r="AG39" i="1"/>
  <c r="AG40" i="1"/>
  <c r="AG70" i="1"/>
  <c r="AG42" i="1"/>
  <c r="AG86" i="1"/>
  <c r="AG44" i="1"/>
  <c r="AG45" i="1"/>
  <c r="AG46" i="1"/>
  <c r="AG47" i="1"/>
  <c r="AG48" i="1"/>
  <c r="AG49" i="1"/>
  <c r="AG50" i="1"/>
  <c r="AG72" i="1"/>
  <c r="AG52" i="1"/>
  <c r="AG53" i="1"/>
  <c r="AG54" i="1"/>
  <c r="AG55" i="1"/>
  <c r="AG56" i="1"/>
  <c r="AG134" i="1"/>
  <c r="AG58" i="1"/>
  <c r="AG59" i="1"/>
  <c r="AG60" i="1"/>
  <c r="AG34" i="1"/>
  <c r="AG35" i="1"/>
  <c r="AG63" i="1"/>
  <c r="AG64" i="1"/>
  <c r="AG81" i="1"/>
  <c r="AG66" i="1"/>
  <c r="AG67" i="1"/>
  <c r="AG68" i="1"/>
  <c r="AG69" i="1"/>
  <c r="AG135" i="1"/>
  <c r="AG71" i="1"/>
  <c r="AG19" i="1"/>
  <c r="AG73" i="1"/>
  <c r="AG74" i="1"/>
  <c r="AG75" i="1"/>
  <c r="AG76" i="1"/>
  <c r="AG77" i="1"/>
  <c r="AG78" i="1"/>
  <c r="AG136" i="1"/>
  <c r="AG109" i="1"/>
  <c r="AG85" i="1"/>
  <c r="AG82" i="1"/>
  <c r="AG115" i="1"/>
  <c r="AG128" i="1"/>
  <c r="AG57" i="1"/>
  <c r="AG83" i="1"/>
  <c r="AG87" i="1"/>
  <c r="AG88" i="1"/>
  <c r="AG89" i="1"/>
  <c r="AG62" i="1"/>
  <c r="AG91" i="1"/>
  <c r="AG92" i="1"/>
  <c r="AG93" i="1"/>
  <c r="AG94" i="1"/>
  <c r="AG95" i="1"/>
  <c r="AG96" i="1"/>
  <c r="AG97" i="1"/>
  <c r="AG98" i="1"/>
  <c r="AG51" i="1"/>
  <c r="AG90" i="1"/>
  <c r="AG84" i="1"/>
  <c r="AG102" i="1"/>
  <c r="AG103" i="1"/>
  <c r="AG104" i="1"/>
  <c r="AG105" i="1"/>
  <c r="AG65" i="1"/>
  <c r="AG101" i="1"/>
  <c r="AG108" i="1"/>
  <c r="AG7" i="1"/>
  <c r="AG107" i="1"/>
  <c r="AG111" i="1"/>
  <c r="AG112" i="1"/>
  <c r="AG113" i="1"/>
  <c r="AG114" i="1"/>
  <c r="AG3" i="1"/>
  <c r="AG116" i="1"/>
  <c r="AG117" i="1"/>
  <c r="AG118" i="1"/>
  <c r="AG119" i="1"/>
  <c r="AG120" i="1"/>
  <c r="AG121" i="1"/>
  <c r="AG122" i="1"/>
  <c r="AG41" i="1"/>
  <c r="AG124" i="1"/>
  <c r="AG99" i="1"/>
  <c r="AG14" i="1"/>
  <c r="AG79" i="1"/>
  <c r="AG110" i="1"/>
  <c r="AG129" i="1"/>
  <c r="AG130" i="1"/>
  <c r="AG131" i="1"/>
  <c r="AG132" i="1"/>
  <c r="AG133" i="1"/>
  <c r="AG127" i="1"/>
  <c r="AG43" i="1"/>
  <c r="AG125" i="1"/>
  <c r="AG100" i="1"/>
  <c r="AG138" i="1"/>
  <c r="AG2" i="1"/>
</calcChain>
</file>

<file path=xl/sharedStrings.xml><?xml version="1.0" encoding="utf-8"?>
<sst xmlns="http://schemas.openxmlformats.org/spreadsheetml/2006/main" count="1912" uniqueCount="641">
  <si>
    <t xml:space="preserve"> Ticker </t>
  </si>
  <si>
    <t>Name</t>
  </si>
  <si>
    <t>Sector</t>
  </si>
  <si>
    <t>Industry</t>
  </si>
  <si>
    <t>MarketCap</t>
  </si>
  <si>
    <t xml:space="preserve">D5Open </t>
  </si>
  <si>
    <t xml:space="preserve">D5Close </t>
  </si>
  <si>
    <t xml:space="preserve">D4Open </t>
  </si>
  <si>
    <t xml:space="preserve">D4Close </t>
  </si>
  <si>
    <t xml:space="preserve">D3Open </t>
  </si>
  <si>
    <t xml:space="preserve">D3Close </t>
  </si>
  <si>
    <t xml:space="preserve">D2Open </t>
  </si>
  <si>
    <t xml:space="preserve">D2Close </t>
  </si>
  <si>
    <t xml:space="preserve">D1Open </t>
  </si>
  <si>
    <t xml:space="preserve">D1Close </t>
  </si>
  <si>
    <t xml:space="preserve">ATR(14) </t>
  </si>
  <si>
    <t xml:space="preserve">Sug. Stop </t>
  </si>
  <si>
    <t xml:space="preserve">Take Profit </t>
  </si>
  <si>
    <t>Pre-Market</t>
  </si>
  <si>
    <t>Pre-Market%</t>
  </si>
  <si>
    <t xml:space="preserve">50SMA </t>
  </si>
  <si>
    <t>Support1</t>
  </si>
  <si>
    <t>Support2</t>
  </si>
  <si>
    <t>Support3</t>
  </si>
  <si>
    <t>Resistance1</t>
  </si>
  <si>
    <t>Resistance2</t>
  </si>
  <si>
    <t>Resistance3</t>
  </si>
  <si>
    <t xml:space="preserve">D5Vol </t>
  </si>
  <si>
    <t xml:space="preserve">D4Vol </t>
  </si>
  <si>
    <t xml:space="preserve">D3Vol </t>
  </si>
  <si>
    <t xml:space="preserve">D2Vol </t>
  </si>
  <si>
    <t xml:space="preserve">D1Vol </t>
  </si>
  <si>
    <t xml:space="preserve">G5 </t>
  </si>
  <si>
    <t xml:space="preserve">G4 </t>
  </si>
  <si>
    <t xml:space="preserve">G3 </t>
  </si>
  <si>
    <t xml:space="preserve">G2 </t>
  </si>
  <si>
    <t xml:space="preserve">G1 </t>
  </si>
  <si>
    <t>C5</t>
  </si>
  <si>
    <t>C4</t>
  </si>
  <si>
    <t>C3</t>
  </si>
  <si>
    <t>C2</t>
  </si>
  <si>
    <t>C1</t>
  </si>
  <si>
    <t xml:space="preserve">AboveSMA </t>
  </si>
  <si>
    <t xml:space="preserve">52WLow </t>
  </si>
  <si>
    <t xml:space="preserve">52WHigh </t>
  </si>
  <si>
    <t xml:space="preserve">%FromLow </t>
  </si>
  <si>
    <t xml:space="preserve">%FromHigh </t>
  </si>
  <si>
    <t xml:space="preserve">RisingVol </t>
  </si>
  <si>
    <t xml:space="preserve">RiseRSI </t>
  </si>
  <si>
    <t xml:space="preserve">RSI5 </t>
  </si>
  <si>
    <t xml:space="preserve">RSI4 </t>
  </si>
  <si>
    <t xml:space="preserve">RSI3 </t>
  </si>
  <si>
    <t xml:space="preserve">RSI2 </t>
  </si>
  <si>
    <t xml:space="preserve">RSI1 </t>
  </si>
  <si>
    <t xml:space="preserve">Stoch </t>
  </si>
  <si>
    <t>StochK</t>
  </si>
  <si>
    <t>StochD</t>
  </si>
  <si>
    <t>GoldenCross</t>
  </si>
  <si>
    <t>MACDBuy</t>
  </si>
  <si>
    <t>ADX</t>
  </si>
  <si>
    <t>Trending</t>
  </si>
  <si>
    <t>Bollinger</t>
  </si>
  <si>
    <t>OBVRising</t>
  </si>
  <si>
    <t>VolumeSpike</t>
  </si>
  <si>
    <t>Near52WLow</t>
  </si>
  <si>
    <t>CMFBuy</t>
  </si>
  <si>
    <t>BullDiv</t>
  </si>
  <si>
    <t>TrendPullback</t>
  </si>
  <si>
    <t>BearDiv</t>
  </si>
  <si>
    <t>DeathCross</t>
  </si>
  <si>
    <t>ExhaustionSell</t>
  </si>
  <si>
    <t>RecMean</t>
  </si>
  <si>
    <t>TargetMean</t>
  </si>
  <si>
    <t>TargetHigh</t>
  </si>
  <si>
    <t>TargetLow</t>
  </si>
  <si>
    <t>StrongBuy</t>
  </si>
  <si>
    <t>Buy</t>
  </si>
  <si>
    <t>Hold</t>
  </si>
  <si>
    <t>Sell</t>
  </si>
  <si>
    <t>StrongSell</t>
  </si>
  <si>
    <t>TotalAnalysts</t>
  </si>
  <si>
    <t>BuyCount</t>
  </si>
  <si>
    <t>NeutralCount</t>
  </si>
  <si>
    <t>SellCount</t>
  </si>
  <si>
    <t>RecommendationKey</t>
  </si>
  <si>
    <t>TargetUpsidePct</t>
  </si>
  <si>
    <t>AnalystBias</t>
  </si>
  <si>
    <t>EPSRevMomentum</t>
  </si>
  <si>
    <t>FinvizTarget</t>
  </si>
  <si>
    <t>FinvizShortFloat</t>
  </si>
  <si>
    <t>ShortPctFloat</t>
  </si>
  <si>
    <t>ShortRatio</t>
  </si>
  <si>
    <t>EPSRevUp7d</t>
  </si>
  <si>
    <t>EPSRevDown7d</t>
  </si>
  <si>
    <t>EPSTrendCurrent</t>
  </si>
  <si>
    <t>EPSTrend30dAgo</t>
  </si>
  <si>
    <t>EPSDiff</t>
  </si>
  <si>
    <t>EPSEstAvg</t>
  </si>
  <si>
    <t>EPSEstNumAnalysts</t>
  </si>
  <si>
    <t>EPSEstGrowth</t>
  </si>
  <si>
    <t>EPSEstGrowthFY</t>
  </si>
  <si>
    <t>TPE</t>
  </si>
  <si>
    <t>FPE</t>
  </si>
  <si>
    <t>NextEarningsDate</t>
  </si>
  <si>
    <t>StochBuy</t>
  </si>
  <si>
    <t>NiceGreenCandle</t>
  </si>
  <si>
    <t>BuyScore</t>
  </si>
  <si>
    <t>SellScore</t>
  </si>
  <si>
    <t>HighQualityBuy</t>
  </si>
  <si>
    <t>LatestFCF</t>
  </si>
  <si>
    <t>FCFYield</t>
  </si>
  <si>
    <t>FCFMargin</t>
  </si>
  <si>
    <t>OperatingCashFlow</t>
  </si>
  <si>
    <t>CapEx</t>
  </si>
  <si>
    <t>TotalCash</t>
  </si>
  <si>
    <t>TotalDebt</t>
  </si>
  <si>
    <t>NetCashPosition</t>
  </si>
  <si>
    <t>CashToDebt</t>
  </si>
  <si>
    <t>CurrentRatio</t>
  </si>
  <si>
    <t>QuickRatio</t>
  </si>
  <si>
    <t>pegRatio</t>
  </si>
  <si>
    <t>TrailingPE</t>
  </si>
  <si>
    <t>ForwardPE</t>
  </si>
  <si>
    <t>PEG</t>
  </si>
  <si>
    <t>EVToEBITDA</t>
  </si>
  <si>
    <t>PriceToFCF</t>
  </si>
  <si>
    <t>DipPct</t>
  </si>
  <si>
    <t>NearEarnings</t>
  </si>
  <si>
    <t>BaseQualityScore</t>
  </si>
  <si>
    <t>SectorValuationScore</t>
  </si>
  <si>
    <t>CheaperThanSector</t>
  </si>
  <si>
    <t>QualityScore</t>
  </si>
  <si>
    <t>QualityDipBuy</t>
  </si>
  <si>
    <t>AII</t>
  </si>
  <si>
    <t>American_Integrity_Insurance_Gr</t>
  </si>
  <si>
    <t>Financial_Services</t>
  </si>
  <si>
    <t>Insurance_-_Property_&amp;_Casualty</t>
  </si>
  <si>
    <t>NaN</t>
  </si>
  <si>
    <t>buy</t>
  </si>
  <si>
    <t>NEUTRAL</t>
  </si>
  <si>
    <t>1.49%</t>
  </si>
  <si>
    <t>2026-11-10</t>
  </si>
  <si>
    <t>AMN</t>
  </si>
  <si>
    <t>AMN_Healthcare_Services_Inc</t>
  </si>
  <si>
    <t>Healthcare</t>
  </si>
  <si>
    <t>Medical_Care_Facilities</t>
  </si>
  <si>
    <t>hold</t>
  </si>
  <si>
    <t>8.92%</t>
  </si>
  <si>
    <t>2026-11-05</t>
  </si>
  <si>
    <t>AFCG</t>
  </si>
  <si>
    <t>Advanced_Flower_Capital_Inc.</t>
  </si>
  <si>
    <t>Asset_Management</t>
  </si>
  <si>
    <t>none</t>
  </si>
  <si>
    <t>5.07%</t>
  </si>
  <si>
    <t>2026-11-11</t>
  </si>
  <si>
    <t>ADAM</t>
  </si>
  <si>
    <t>Adamas_Trust,_Inc.</t>
  </si>
  <si>
    <t>Real_Estate</t>
  </si>
  <si>
    <t>REIT_-_Mortgage</t>
  </si>
  <si>
    <t>3.72%</t>
  </si>
  <si>
    <t>2026-10-28</t>
  </si>
  <si>
    <t>AROW</t>
  </si>
  <si>
    <t>Arrow_Financial_Corporation</t>
  </si>
  <si>
    <t>Banks_-_Regional</t>
  </si>
  <si>
    <t>3.03%</t>
  </si>
  <si>
    <t>2026-10-29</t>
  </si>
  <si>
    <t>ASTH</t>
  </si>
  <si>
    <t>Astrana_Health_Inc.</t>
  </si>
  <si>
    <t>8.36%</t>
  </si>
  <si>
    <t>ARTNA</t>
  </si>
  <si>
    <t>Artesian_Resources_Corporation</t>
  </si>
  <si>
    <t>Utilities</t>
  </si>
  <si>
    <t>Utilities_-_Regulated_Water</t>
  </si>
  <si>
    <t>0.69%</t>
  </si>
  <si>
    <t>ASIC</t>
  </si>
  <si>
    <t>Ategrity_Specialty_Insurance_Co</t>
  </si>
  <si>
    <t>3.57%</t>
  </si>
  <si>
    <t>2026-10-21</t>
  </si>
  <si>
    <t>ATNI</t>
  </si>
  <si>
    <t>ATN_International,_Inc.</t>
  </si>
  <si>
    <t>Communication_Services</t>
  </si>
  <si>
    <t>Telecom_Services</t>
  </si>
  <si>
    <t>2.37%</t>
  </si>
  <si>
    <t>2026-11-09</t>
  </si>
  <si>
    <t>BBCP</t>
  </si>
  <si>
    <t>Concrete_Pumping_Holdings,_Inc.</t>
  </si>
  <si>
    <t>Industrials</t>
  </si>
  <si>
    <t>Engineering_&amp;_Construction</t>
  </si>
  <si>
    <t>BEARISH/HOLD</t>
  </si>
  <si>
    <t>4.79%</t>
  </si>
  <si>
    <t>2027-01-13</t>
  </si>
  <si>
    <t>AVBC</t>
  </si>
  <si>
    <t>Avidia_Bancorp,_Inc.</t>
  </si>
  <si>
    <t>2.81%</t>
  </si>
  <si>
    <t>BCAL</t>
  </si>
  <si>
    <t>California_BanCorp</t>
  </si>
  <si>
    <t>3.56%</t>
  </si>
  <si>
    <t>BVS</t>
  </si>
  <si>
    <t>Bioventus_Inc.</t>
  </si>
  <si>
    <t>Medical_Devices</t>
  </si>
  <si>
    <t>5.46%</t>
  </si>
  <si>
    <t>2026-11-03</t>
  </si>
  <si>
    <t>BWB</t>
  </si>
  <si>
    <t>Bridgewater_Bancshares,_Inc.</t>
  </si>
  <si>
    <t>3.71%</t>
  </si>
  <si>
    <t>2026-10-20</t>
  </si>
  <si>
    <t>BWEN</t>
  </si>
  <si>
    <t>Broadwind,_Inc.</t>
  </si>
  <si>
    <t>Specialty_Industrial_Machinery</t>
  </si>
  <si>
    <t>3.90%</t>
  </si>
  <si>
    <t>2026-11-16</t>
  </si>
  <si>
    <t>BY</t>
  </si>
  <si>
    <t>Byline_Bancorp,_Inc.</t>
  </si>
  <si>
    <t>3.05%</t>
  </si>
  <si>
    <t>2026-10-22</t>
  </si>
  <si>
    <t>CARE</t>
  </si>
  <si>
    <t>Carter_Bankshares,_Inc.</t>
  </si>
  <si>
    <t>9.93%</t>
  </si>
  <si>
    <t>CARS</t>
  </si>
  <si>
    <t>Cars.com_Inc.</t>
  </si>
  <si>
    <t>Internet_Content_&amp;_Information</t>
  </si>
  <si>
    <t>14.58%</t>
  </si>
  <si>
    <t>CBAN</t>
  </si>
  <si>
    <t>Colony_Bankcorp,_Inc.</t>
  </si>
  <si>
    <t>5.31%</t>
  </si>
  <si>
    <t>CBFV</t>
  </si>
  <si>
    <t>CB_Financial_Services,_Inc.</t>
  </si>
  <si>
    <t>1.88%</t>
  </si>
  <si>
    <t>CBK</t>
  </si>
  <si>
    <t>Commercial_Bancgroup,_Inc.</t>
  </si>
  <si>
    <t>3.24%</t>
  </si>
  <si>
    <t>2026-10-26</t>
  </si>
  <si>
    <t>CCNE</t>
  </si>
  <si>
    <t>CNB_Financial_Corporation</t>
  </si>
  <si>
    <t>2.48%</t>
  </si>
  <si>
    <t>CBNK</t>
  </si>
  <si>
    <t>Capital_Bancorp,_Inc.</t>
  </si>
  <si>
    <t>BULLISH</t>
  </si>
  <si>
    <t>6.30%</t>
  </si>
  <si>
    <t>CCSI</t>
  </si>
  <si>
    <t>Consensus_Cloud_Solutions,_Inc.</t>
  </si>
  <si>
    <t>Technology</t>
  </si>
  <si>
    <t>Software_-_Infrastructure</t>
  </si>
  <si>
    <t>5.77%</t>
  </si>
  <si>
    <t>2026-11-04</t>
  </si>
  <si>
    <t>CFBK</t>
  </si>
  <si>
    <t>CF_Bankshares_Inc.</t>
  </si>
  <si>
    <t>2.27%</t>
  </si>
  <si>
    <t>CFFN</t>
  </si>
  <si>
    <t>Capitol_Federal_Financial,_Inc.</t>
  </si>
  <si>
    <t>5.67%</t>
  </si>
  <si>
    <t>CNOB</t>
  </si>
  <si>
    <t>ConnectOne_Bancorp,_Inc.</t>
  </si>
  <si>
    <t>3.38%</t>
  </si>
  <si>
    <t>COSO</t>
  </si>
  <si>
    <t>CoastalSouth_Bancshares,_Inc.</t>
  </si>
  <si>
    <t>1.72%</t>
  </si>
  <si>
    <t>2026-10-19</t>
  </si>
  <si>
    <t>CPF</t>
  </si>
  <si>
    <t>Central_Pacific_Financial_Corp_</t>
  </si>
  <si>
    <t>2.49%</t>
  </si>
  <si>
    <t>CTO</t>
  </si>
  <si>
    <t>CTO_Realty_Growth,_Inc.</t>
  </si>
  <si>
    <t>REIT_-_Diversified</t>
  </si>
  <si>
    <t>5.59%</t>
  </si>
  <si>
    <t>2026-10-27</t>
  </si>
  <si>
    <t>CYPH</t>
  </si>
  <si>
    <t>Cypherpunk_Technologies_Inc.</t>
  </si>
  <si>
    <t>strong_buy</t>
  </si>
  <si>
    <t>7.52%</t>
  </si>
  <si>
    <t>DGICA</t>
  </si>
  <si>
    <t>Donegal_Group,_Inc.</t>
  </si>
  <si>
    <t>4.95%</t>
  </si>
  <si>
    <t>DHX</t>
  </si>
  <si>
    <t>DHI_Group,_Inc.</t>
  </si>
  <si>
    <t>Software_-_Application</t>
  </si>
  <si>
    <t>0.62%</t>
  </si>
  <si>
    <t>ELE</t>
  </si>
  <si>
    <t>Elemental_Royalty_Corporation</t>
  </si>
  <si>
    <t>Basic_Materials</t>
  </si>
  <si>
    <t>Gold</t>
  </si>
  <si>
    <t>17.50%</t>
  </si>
  <si>
    <t>2026-11-12</t>
  </si>
  <si>
    <t>FATN</t>
  </si>
  <si>
    <t>FatPipe,_Inc.</t>
  </si>
  <si>
    <t>1.38%</t>
  </si>
  <si>
    <t>2026-11-02</t>
  </si>
  <si>
    <t>FCCO</t>
  </si>
  <si>
    <t>First_Community_Corporation</t>
  </si>
  <si>
    <t>2.15%</t>
  </si>
  <si>
    <t>FMNB</t>
  </si>
  <si>
    <t>Farmers_National_Banc_Corp.</t>
  </si>
  <si>
    <t>3.17%</t>
  </si>
  <si>
    <t>FRBA</t>
  </si>
  <si>
    <t>First_Bank</t>
  </si>
  <si>
    <t>1.64%</t>
  </si>
  <si>
    <t>FRST</t>
  </si>
  <si>
    <t>Primis_Financial_Corp.</t>
  </si>
  <si>
    <t>3.75%</t>
  </si>
  <si>
    <t>FTK</t>
  </si>
  <si>
    <t>Flotek_Industries,_Inc.</t>
  </si>
  <si>
    <t>Energy</t>
  </si>
  <si>
    <t>Oil_&amp;_Gas_Equipment_&amp;_Services</t>
  </si>
  <si>
    <t>17.18%</t>
  </si>
  <si>
    <t>FVCB</t>
  </si>
  <si>
    <t>FVCBankcorp,_Inc.</t>
  </si>
  <si>
    <t>2.51%</t>
  </si>
  <si>
    <t>GCO</t>
  </si>
  <si>
    <t>Genesco_Inc.</t>
  </si>
  <si>
    <t>Consumer_Cyclical</t>
  </si>
  <si>
    <t>Apparel_Retail</t>
  </si>
  <si>
    <t>11.76%</t>
  </si>
  <si>
    <t>2026-12-03</t>
  </si>
  <si>
    <t>GLAD</t>
  </si>
  <si>
    <t>Gladstone_Capital_Corporation</t>
  </si>
  <si>
    <t>4.09%</t>
  </si>
  <si>
    <t>GNK</t>
  </si>
  <si>
    <t>Genco_Shipping_&amp;_Trading_Limite</t>
  </si>
  <si>
    <t>Marine_Shipping</t>
  </si>
  <si>
    <t>2.95%</t>
  </si>
  <si>
    <t>GOOD</t>
  </si>
  <si>
    <t>Gladstone_Commercial_Corporatio</t>
  </si>
  <si>
    <t>7.79%</t>
  </si>
  <si>
    <t>GWRS</t>
  </si>
  <si>
    <t>Global_Water_Resources,_Inc.</t>
  </si>
  <si>
    <t>3.07%</t>
  </si>
  <si>
    <t>HAFC</t>
  </si>
  <si>
    <t>Hanmi_Financial_Corporation</t>
  </si>
  <si>
    <t>3.66%</t>
  </si>
  <si>
    <t>HFWA</t>
  </si>
  <si>
    <t>Heritage_Financial_Corporation</t>
  </si>
  <si>
    <t>7.53%</t>
  </si>
  <si>
    <t>HBT</t>
  </si>
  <si>
    <t>HBT_Financial,_Inc.</t>
  </si>
  <si>
    <t>5.73%</t>
  </si>
  <si>
    <t>HCSG</t>
  </si>
  <si>
    <t>Healthcare_Services_Group,_Inc.</t>
  </si>
  <si>
    <t>4.22%</t>
  </si>
  <si>
    <t>HIPO</t>
  </si>
  <si>
    <t>Hippo_Holdings_Inc.</t>
  </si>
  <si>
    <t>4.50%</t>
  </si>
  <si>
    <t>HNVR</t>
  </si>
  <si>
    <t>Hanover_Bancorp,_Inc.</t>
  </si>
  <si>
    <t>2.28%</t>
  </si>
  <si>
    <t>HOPE</t>
  </si>
  <si>
    <t>Hope_Bancorp,_Inc.</t>
  </si>
  <si>
    <t>5.17%</t>
  </si>
  <si>
    <t>HQI</t>
  </si>
  <si>
    <t>HireQuest,_Inc.</t>
  </si>
  <si>
    <t>Staffing_&amp;_Employment_Services</t>
  </si>
  <si>
    <t>4.11%</t>
  </si>
  <si>
    <t>HRTG</t>
  </si>
  <si>
    <t>Heritage_Insurance_Holdings,_In</t>
  </si>
  <si>
    <t>3.39%</t>
  </si>
  <si>
    <t>HSTM</t>
  </si>
  <si>
    <t>HealthStream,_Inc.</t>
  </si>
  <si>
    <t>Health_Information_Services</t>
  </si>
  <si>
    <t>5.87%</t>
  </si>
  <si>
    <t>HVT</t>
  </si>
  <si>
    <t>Haverty_Furniture_Companies,_In</t>
  </si>
  <si>
    <t>Home_Improvement_Retail</t>
  </si>
  <si>
    <t>4.48%</t>
  </si>
  <si>
    <t>III</t>
  </si>
  <si>
    <t>Information_Services_Group,_Inc</t>
  </si>
  <si>
    <t>Information_Technology_Services</t>
  </si>
  <si>
    <t>1.86%</t>
  </si>
  <si>
    <t>INFU</t>
  </si>
  <si>
    <t>InfuSystems_Holdings,_Inc.</t>
  </si>
  <si>
    <t>4.02%</t>
  </si>
  <si>
    <t>INVX</t>
  </si>
  <si>
    <t>Innovex_International,_Inc.</t>
  </si>
  <si>
    <t>4.81%</t>
  </si>
  <si>
    <t>IRWD</t>
  </si>
  <si>
    <t>Ironwood_Pharmaceuticals,_Inc.</t>
  </si>
  <si>
    <t>Drug_Manufacturers_-_Specialty_&amp;_Generic</t>
  </si>
  <si>
    <t>11.10%</t>
  </si>
  <si>
    <t>ISTR</t>
  </si>
  <si>
    <t>Investar_Holding_Corporation</t>
  </si>
  <si>
    <t>2.50%</t>
  </si>
  <si>
    <t>JAKK</t>
  </si>
  <si>
    <t>JAKKS_Pacific,_Inc.</t>
  </si>
  <si>
    <t>Leisure</t>
  </si>
  <si>
    <t>4.87%</t>
  </si>
  <si>
    <t>JILL</t>
  </si>
  <si>
    <t>J._Jill,_Inc.</t>
  </si>
  <si>
    <t>12.36%</t>
  </si>
  <si>
    <t>2026-12-09</t>
  </si>
  <si>
    <t>JMSB</t>
  </si>
  <si>
    <t>John_Marshall_Bancorp,_Inc.</t>
  </si>
  <si>
    <t>1.50%</t>
  </si>
  <si>
    <t>JRSH</t>
  </si>
  <si>
    <t>Jerash_Holdings_(US),_Inc.</t>
  </si>
  <si>
    <t>Apparel_Manufacturing</t>
  </si>
  <si>
    <t>1.21%</t>
  </si>
  <si>
    <t>KGEI</t>
  </si>
  <si>
    <t>Kolibri_Global_Energy_Inc.</t>
  </si>
  <si>
    <t>Oil_&amp;_Gas_E&amp;P</t>
  </si>
  <si>
    <t>1.97%</t>
  </si>
  <si>
    <t>KINS</t>
  </si>
  <si>
    <t>Kingstone_Companies,_Inc</t>
  </si>
  <si>
    <t>3.19%</t>
  </si>
  <si>
    <t>KOPN</t>
  </si>
  <si>
    <t>Kopin_Corporation</t>
  </si>
  <si>
    <t>Electronic_Components</t>
  </si>
  <si>
    <t>15.00%</t>
  </si>
  <si>
    <t>KRNY</t>
  </si>
  <si>
    <t>Kearny_Financial</t>
  </si>
  <si>
    <t>4.70%</t>
  </si>
  <si>
    <t>KRP</t>
  </si>
  <si>
    <t>Kimbell_Royalty_Partners</t>
  </si>
  <si>
    <t>3.89%</t>
  </si>
  <si>
    <t>LCUT</t>
  </si>
  <si>
    <t>Lifetime_Brands,_Inc.</t>
  </si>
  <si>
    <t>Furnishings,_Fixtures_&amp;_Appliances</t>
  </si>
  <si>
    <t>12.47%</t>
  </si>
  <si>
    <t>LEGH</t>
  </si>
  <si>
    <t>Legacy_Housing_Corporation</t>
  </si>
  <si>
    <t>Residential_Construction</t>
  </si>
  <si>
    <t>8.90%</t>
  </si>
  <si>
    <t>2026-11-06</t>
  </si>
  <si>
    <t>LOB</t>
  </si>
  <si>
    <t>Live_Oak_Bancshares,_Inc.</t>
  </si>
  <si>
    <t>5.54%</t>
  </si>
  <si>
    <t>LOCO</t>
  </si>
  <si>
    <t>El_Pollo_Loco_Holdings,_Inc.</t>
  </si>
  <si>
    <t>Restaurants</t>
  </si>
  <si>
    <t>6.57%</t>
  </si>
  <si>
    <t>LPA</t>
  </si>
  <si>
    <t>Logistic_Properties_of_the_Amer</t>
  </si>
  <si>
    <t>Real_Estate_-_Development</t>
  </si>
  <si>
    <t>1.41%</t>
  </si>
  <si>
    <t>LXFR</t>
  </si>
  <si>
    <t>Luxfer_Holdings_PLC</t>
  </si>
  <si>
    <t>2.07%</t>
  </si>
  <si>
    <t>MATV</t>
  </si>
  <si>
    <t>Mativ_Holdings,_Inc.</t>
  </si>
  <si>
    <t>Specialty_Chemicals</t>
  </si>
  <si>
    <t>2.53%</t>
  </si>
  <si>
    <t>MCS</t>
  </si>
  <si>
    <t>Marcus_Corporation_(The)</t>
  </si>
  <si>
    <t>Entertainment</t>
  </si>
  <si>
    <t>3.68%</t>
  </si>
  <si>
    <t>2026-10-30</t>
  </si>
  <si>
    <t>MAX</t>
  </si>
  <si>
    <t>MediaAlpha,_Inc.</t>
  </si>
  <si>
    <t>11.22%</t>
  </si>
  <si>
    <t>MG</t>
  </si>
  <si>
    <t>Mistras_Group_Inc</t>
  </si>
  <si>
    <t>Security_&amp;_Protection_Services</t>
  </si>
  <si>
    <t>6.23%</t>
  </si>
  <si>
    <t>MITK</t>
  </si>
  <si>
    <t>Mitek_Systems,_Inc.</t>
  </si>
  <si>
    <t>9.39%</t>
  </si>
  <si>
    <t>2026-12-10</t>
  </si>
  <si>
    <t>MNTK</t>
  </si>
  <si>
    <t>Montauk_Renewables,_Inc.</t>
  </si>
  <si>
    <t>3.63%</t>
  </si>
  <si>
    <t>MLKN</t>
  </si>
  <si>
    <t>MillerKnoll,_Inc.</t>
  </si>
  <si>
    <t>5.91%</t>
  </si>
  <si>
    <t>2026-09-22</t>
  </si>
  <si>
    <t>MNTN</t>
  </si>
  <si>
    <t>MNTN,_Inc.</t>
  </si>
  <si>
    <t>11.74%</t>
  </si>
  <si>
    <t>MOV</t>
  </si>
  <si>
    <t>Movado_Group_Inc.</t>
  </si>
  <si>
    <t>Luxury_Goods</t>
  </si>
  <si>
    <t>7.80%</t>
  </si>
  <si>
    <t>2026-11-24</t>
  </si>
  <si>
    <t>MPB</t>
  </si>
  <si>
    <t>Mid_Penn_Bancorp</t>
  </si>
  <si>
    <t>MVBF</t>
  </si>
  <si>
    <t>MVB_Financial_Corp.</t>
  </si>
  <si>
    <t>2.55%</t>
  </si>
  <si>
    <t>MYE</t>
  </si>
  <si>
    <t>Myers_Industries,_Inc.</t>
  </si>
  <si>
    <t>Packaging_&amp;_Containers</t>
  </si>
  <si>
    <t>3.30%</t>
  </si>
  <si>
    <t>MYFW</t>
  </si>
  <si>
    <t>First_Western_Financial,_Inc.</t>
  </si>
  <si>
    <t>2.16%</t>
  </si>
  <si>
    <t>NBBK</t>
  </si>
  <si>
    <t>NB_Bancorp,_Inc.</t>
  </si>
  <si>
    <t>4.06%</t>
  </si>
  <si>
    <t>NEPH</t>
  </si>
  <si>
    <t>Nephros,_Inc.</t>
  </si>
  <si>
    <t>Medical_Instruments_&amp;_Supplies</t>
  </si>
  <si>
    <t>0.44%</t>
  </si>
  <si>
    <t>NRIM</t>
  </si>
  <si>
    <t>Northrim_BanCorp_Inc</t>
  </si>
  <si>
    <t>3.87%</t>
  </si>
  <si>
    <t>NWFL</t>
  </si>
  <si>
    <t>Norwood_Financial_Corp.</t>
  </si>
  <si>
    <t>1.55%</t>
  </si>
  <si>
    <t>NX</t>
  </si>
  <si>
    <t>Quanex_Building_Products_Corpor</t>
  </si>
  <si>
    <t>Building_Products_&amp;_Equipment</t>
  </si>
  <si>
    <t>7.39%</t>
  </si>
  <si>
    <t>OBT</t>
  </si>
  <si>
    <t>Orange_County_Bancorp,_Inc.</t>
  </si>
  <si>
    <t>1.36%</t>
  </si>
  <si>
    <t>OLP</t>
  </si>
  <si>
    <t>One_Liberty_Properties,_Inc.</t>
  </si>
  <si>
    <t>OMDA</t>
  </si>
  <si>
    <t>Omada_Health,_Inc.</t>
  </si>
  <si>
    <t>19.07%</t>
  </si>
  <si>
    <t>OMER</t>
  </si>
  <si>
    <t>Omeros_Corporation</t>
  </si>
  <si>
    <t>Biotechnology</t>
  </si>
  <si>
    <t>18.41%</t>
  </si>
  <si>
    <t>OOMA</t>
  </si>
  <si>
    <t>Ooma,_Inc.</t>
  </si>
  <si>
    <t>2026-12-07</t>
  </si>
  <si>
    <t>OPBK</t>
  </si>
  <si>
    <t>OP_Bancorp</t>
  </si>
  <si>
    <t>1.29%</t>
  </si>
  <si>
    <t>OPRT</t>
  </si>
  <si>
    <t>Oportun_Financial_Corporation</t>
  </si>
  <si>
    <t>Credit_Services</t>
  </si>
  <si>
    <t>2.73%</t>
  </si>
  <si>
    <t>OSBC</t>
  </si>
  <si>
    <t>Old_Second_Bancorp,_Inc.</t>
  </si>
  <si>
    <t>4.18%</t>
  </si>
  <si>
    <t>PANL</t>
  </si>
  <si>
    <t>Pangaea_Logistics_Solutions_Ltd</t>
  </si>
  <si>
    <t>PAYS</t>
  </si>
  <si>
    <t>Paysign,_Inc.</t>
  </si>
  <si>
    <t>3.98%</t>
  </si>
  <si>
    <t>PCRX</t>
  </si>
  <si>
    <t>Pacira_BioSciences,_Inc.</t>
  </si>
  <si>
    <t>19.19%</t>
  </si>
  <si>
    <t>PEBO</t>
  </si>
  <si>
    <t>Peoples_Bancorp_Inc.</t>
  </si>
  <si>
    <t>5.10%</t>
  </si>
  <si>
    <t>PGY</t>
  </si>
  <si>
    <t>Pagaya_Technologies_Ltd.</t>
  </si>
  <si>
    <t>16.06%</t>
  </si>
  <si>
    <t>PLX</t>
  </si>
  <si>
    <t>Protalix_BioTherapeutics,_Inc._</t>
  </si>
  <si>
    <t>PMTS</t>
  </si>
  <si>
    <t>CPI_Card_Group_Inc.</t>
  </si>
  <si>
    <t>4.58%</t>
  </si>
  <si>
    <t>POWW</t>
  </si>
  <si>
    <t>Outdoor_Holding_Company</t>
  </si>
  <si>
    <t>Aerospace_&amp;_Defense</t>
  </si>
  <si>
    <t>2.60%</t>
  </si>
  <si>
    <t>PPIH</t>
  </si>
  <si>
    <t>Perma-Pipe_International_Holdin</t>
  </si>
  <si>
    <t>6.47%</t>
  </si>
  <si>
    <t>PSTL</t>
  </si>
  <si>
    <t>Postal_Realty_Trust,_Inc.</t>
  </si>
  <si>
    <t>REIT_-_Office</t>
  </si>
  <si>
    <t>6.07%</t>
  </si>
  <si>
    <t>QNST</t>
  </si>
  <si>
    <t>QuinStreet,_Inc.</t>
  </si>
  <si>
    <t>Advertising_Agencies</t>
  </si>
  <si>
    <t>9.32%</t>
  </si>
  <si>
    <t>QUAD</t>
  </si>
  <si>
    <t>Quad_Graphics,_Inc</t>
  </si>
  <si>
    <t>Specialty_Business_Services</t>
  </si>
  <si>
    <t>RELL</t>
  </si>
  <si>
    <t>Richardson_Electronics,_Ltd.</t>
  </si>
  <si>
    <t>7.16%</t>
  </si>
  <si>
    <t>2026-10-07</t>
  </si>
  <si>
    <t>RLGT</t>
  </si>
  <si>
    <t>Radiant_Logistics,_Inc.</t>
  </si>
  <si>
    <t>Integrated_Freight_&amp;_Logistics</t>
  </si>
  <si>
    <t>2026-09-14</t>
  </si>
  <si>
    <t>RSVR</t>
  </si>
  <si>
    <t>Reservoir_Media,_Inc..</t>
  </si>
  <si>
    <t>1.54%</t>
  </si>
  <si>
    <t>SBC</t>
  </si>
  <si>
    <t>SBC_Medical_Group_Holdings_Inco</t>
  </si>
  <si>
    <t>Consulting_Services</t>
  </si>
  <si>
    <t>3.67%</t>
  </si>
  <si>
    <t>SBFG</t>
  </si>
  <si>
    <t>SB_Financial_Group,_Inc.</t>
  </si>
  <si>
    <t>0.39%</t>
  </si>
  <si>
    <t>SHBI</t>
  </si>
  <si>
    <t>Shore_Bancshares,_Inc.</t>
  </si>
  <si>
    <t>3.08%</t>
  </si>
  <si>
    <t>SONO</t>
  </si>
  <si>
    <t>Sonos,_Inc.</t>
  </si>
  <si>
    <t>Consumer_Electronics</t>
  </si>
  <si>
    <t>9.70%</t>
  </si>
  <si>
    <t>STRW</t>
  </si>
  <si>
    <t>Strawberry_Fields_REIT,_Inc.</t>
  </si>
  <si>
    <t>REIT_-_Healthcare_Facilities</t>
  </si>
  <si>
    <t>1.59%</t>
  </si>
  <si>
    <t>SVV</t>
  </si>
  <si>
    <t>Savers_Value_Village,_Inc.</t>
  </si>
  <si>
    <t>Specialty_Retail</t>
  </si>
  <si>
    <t>11.84%</t>
  </si>
  <si>
    <t>THRM</t>
  </si>
  <si>
    <t>Gentherm_Inc</t>
  </si>
  <si>
    <t>Auto_Parts</t>
  </si>
  <si>
    <t>7.08%</t>
  </si>
  <si>
    <t>TILE</t>
  </si>
  <si>
    <t>Interface,_Inc.</t>
  </si>
  <si>
    <t>8.06%</t>
  </si>
  <si>
    <t>TLYS</t>
  </si>
  <si>
    <t>Tilly's,_Inc.</t>
  </si>
  <si>
    <t>2.68%</t>
  </si>
  <si>
    <t>2026-12-02</t>
  </si>
  <si>
    <t>TWFG</t>
  </si>
  <si>
    <t>TWFG,_Inc.</t>
  </si>
  <si>
    <t>Insurance_Brokers</t>
  </si>
  <si>
    <t>5.45%</t>
  </si>
  <si>
    <t>TWIN</t>
  </si>
  <si>
    <t>Twin_Disc,_Incorporated</t>
  </si>
  <si>
    <t>3.81%</t>
  </si>
  <si>
    <t>UBCP</t>
  </si>
  <si>
    <t>United_Bancorp,_Inc.</t>
  </si>
  <si>
    <t>0.16%</t>
  </si>
  <si>
    <t>2026-02-05</t>
  </si>
  <si>
    <t>UMH</t>
  </si>
  <si>
    <t>UMH_Properties,_Inc.</t>
  </si>
  <si>
    <t>REIT_-_Residential</t>
  </si>
  <si>
    <t>4.86%</t>
  </si>
  <si>
    <t>USCB</t>
  </si>
  <si>
    <t>USCB_Financial_Holdings,_Inc.</t>
  </si>
  <si>
    <t>2.31%</t>
  </si>
  <si>
    <t>VISN</t>
  </si>
  <si>
    <t>Vistance_Networks,_Inc.</t>
  </si>
  <si>
    <t>Communication_Equipment</t>
  </si>
  <si>
    <t>12.81%</t>
  </si>
  <si>
    <t>WWW</t>
  </si>
  <si>
    <t>Wolverine_World_Wide,_Inc.</t>
  </si>
  <si>
    <t>Footwear_&amp;_Accessories</t>
  </si>
  <si>
    <t>7.22%</t>
  </si>
  <si>
    <t>VOXR</t>
  </si>
  <si>
    <t>Vox_Royalty_Corp.</t>
  </si>
  <si>
    <t>Other_Precious_Metals_&amp;_Mining</t>
  </si>
  <si>
    <t>2.69%</t>
  </si>
  <si>
    <t>YEXT</t>
  </si>
  <si>
    <t>Yext,_Inc.</t>
  </si>
  <si>
    <t>6.67%</t>
  </si>
  <si>
    <t>YORW</t>
  </si>
  <si>
    <t>The_York_Water_Company</t>
  </si>
  <si>
    <t>3.86%</t>
  </si>
  <si>
    <t>AVG 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</si>
</sst>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D1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:A57"/>
    </sheetView>
  </sheetViews>
  <sheetFormatPr baseColWidth="10" defaultColWidth="8.83203125" defaultRowHeight="15" x14ac:dyDescent="0.2"/>
  <cols>
    <col min="1" max="1" width="12" customWidth="1"/>
    <col min="2" max="2" width="35" customWidth="1"/>
    <col min="3" max="3" width="26" customWidth="1"/>
    <col min="4" max="4" width="44" customWidth="1"/>
    <col min="5" max="5" width="16" customWidth="1"/>
    <col min="6" max="16" width="12" customWidth="1"/>
    <col min="17" max="17" width="14" customWidth="1"/>
    <col min="18" max="18" width="16" customWidth="1"/>
    <col min="19" max="19" width="14" customWidth="1"/>
    <col min="20" max="20" width="15" customWidth="1"/>
    <col min="21" max="24" width="12" customWidth="1"/>
    <col min="25" max="27" width="15" customWidth="1"/>
    <col min="28" max="43" width="12" customWidth="1"/>
    <col min="44" max="44" width="13" customWidth="1"/>
    <col min="45" max="46" width="12" customWidth="1"/>
    <col min="47" max="47" width="13" customWidth="1"/>
    <col min="48" max="49" width="14" customWidth="1"/>
    <col min="50" max="58" width="12" customWidth="1"/>
    <col min="59" max="59" width="15" customWidth="1"/>
    <col min="60" max="62" width="12" customWidth="1"/>
    <col min="63" max="64" width="13" customWidth="1"/>
    <col min="65" max="65" width="15" customWidth="1"/>
    <col min="66" max="66" width="14" customWidth="1"/>
    <col min="67" max="68" width="12" customWidth="1"/>
    <col min="69" max="69" width="17" customWidth="1"/>
    <col min="70" max="70" width="12" customWidth="1"/>
    <col min="71" max="71" width="14" customWidth="1"/>
    <col min="72" max="72" width="18" customWidth="1"/>
    <col min="73" max="73" width="12" customWidth="1"/>
    <col min="74" max="75" width="14" customWidth="1"/>
    <col min="76" max="77" width="13" customWidth="1"/>
    <col min="78" max="80" width="12" customWidth="1"/>
    <col min="81" max="81" width="14" customWidth="1"/>
    <col min="82" max="82" width="17" customWidth="1"/>
    <col min="83" max="83" width="12" customWidth="1"/>
    <col min="84" max="84" width="16" customWidth="1"/>
    <col min="85" max="85" width="13" customWidth="1"/>
    <col min="86" max="86" width="21" customWidth="1"/>
    <col min="87" max="87" width="19" customWidth="1"/>
    <col min="88" max="88" width="16" customWidth="1"/>
    <col min="89" max="89" width="18" customWidth="1"/>
    <col min="90" max="90" width="16" customWidth="1"/>
    <col min="91" max="91" width="20" customWidth="1"/>
    <col min="92" max="92" width="17" customWidth="1"/>
    <col min="93" max="94" width="14" customWidth="1"/>
    <col min="95" max="95" width="16" customWidth="1"/>
    <col min="96" max="96" width="19" customWidth="1"/>
    <col min="97" max="97" width="18" customWidth="1"/>
    <col min="98" max="98" width="27" customWidth="1"/>
    <col min="99" max="99" width="13" customWidth="1"/>
    <col min="100" max="100" width="21" customWidth="1"/>
    <col min="101" max="101" width="16" customWidth="1"/>
    <col min="102" max="102" width="18" customWidth="1"/>
    <col min="103" max="104" width="12" customWidth="1"/>
    <col min="105" max="105" width="20" customWidth="1"/>
    <col min="106" max="106" width="12" customWidth="1"/>
    <col min="107" max="107" width="19" customWidth="1"/>
    <col min="108" max="108" width="12" customWidth="1"/>
    <col min="109" max="109" width="13" customWidth="1"/>
    <col min="110" max="110" width="18" customWidth="1"/>
    <col min="111" max="111" width="16" customWidth="1"/>
    <col min="112" max="112" width="12" customWidth="1"/>
    <col min="113" max="113" width="13" customWidth="1"/>
    <col min="114" max="114" width="21" customWidth="1"/>
    <col min="115" max="116" width="16" customWidth="1"/>
    <col min="117" max="117" width="17" customWidth="1"/>
    <col min="118" max="118" width="19" customWidth="1"/>
    <col min="119" max="119" width="14" customWidth="1"/>
    <col min="120" max="120" width="16" customWidth="1"/>
    <col min="121" max="121" width="14" customWidth="1"/>
    <col min="122" max="122" width="12" customWidth="1"/>
    <col min="123" max="123" width="14" customWidth="1"/>
    <col min="124" max="124" width="13" customWidth="1"/>
    <col min="125" max="125" width="12" customWidth="1"/>
    <col min="126" max="127" width="14" customWidth="1"/>
    <col min="128" max="128" width="12" customWidth="1"/>
    <col min="129" max="129" width="16" customWidth="1"/>
    <col min="130" max="130" width="20" customWidth="1"/>
    <col min="131" max="131" width="24" customWidth="1"/>
    <col min="132" max="132" width="21" customWidth="1"/>
    <col min="133" max="133" width="16" customWidth="1"/>
    <col min="134" max="134" width="17" customWidth="1"/>
  </cols>
  <sheetData>
    <row r="1" spans="1:1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640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</row>
    <row r="2" spans="1:134" hidden="1" x14ac:dyDescent="0.2">
      <c r="A2" s="2" t="s">
        <v>133</v>
      </c>
      <c r="B2" s="2" t="s">
        <v>134</v>
      </c>
      <c r="C2" s="2" t="s">
        <v>135</v>
      </c>
      <c r="D2" s="2" t="s">
        <v>136</v>
      </c>
      <c r="E2" s="2">
        <v>519029888</v>
      </c>
      <c r="F2" s="2">
        <v>26</v>
      </c>
      <c r="G2" s="2">
        <v>26.2</v>
      </c>
      <c r="H2" s="2">
        <v>26.25</v>
      </c>
      <c r="I2" s="2">
        <v>25.92</v>
      </c>
      <c r="J2" s="2">
        <v>26.11</v>
      </c>
      <c r="K2" s="2">
        <v>25.41</v>
      </c>
      <c r="L2" s="2">
        <v>25.82</v>
      </c>
      <c r="M2" s="2">
        <v>25.93</v>
      </c>
      <c r="N2" s="2">
        <v>26.16</v>
      </c>
      <c r="O2" s="2">
        <v>26.49</v>
      </c>
      <c r="P2" s="2">
        <v>0.84</v>
      </c>
      <c r="Q2" s="2">
        <v>24.76</v>
      </c>
      <c r="R2" s="2">
        <v>29.08</v>
      </c>
      <c r="S2" s="2">
        <v>26.47</v>
      </c>
      <c r="T2" s="2">
        <v>-0.1</v>
      </c>
      <c r="U2" s="2">
        <v>22.3</v>
      </c>
      <c r="V2" s="2">
        <v>25.18</v>
      </c>
      <c r="W2" s="2">
        <v>24.51</v>
      </c>
      <c r="X2" s="2">
        <v>20.12</v>
      </c>
      <c r="Y2" s="2">
        <v>26.72</v>
      </c>
      <c r="Z2" s="2">
        <v>27</v>
      </c>
      <c r="AA2" s="2" t="s">
        <v>137</v>
      </c>
      <c r="AB2" s="2">
        <v>345900</v>
      </c>
      <c r="AC2" s="2">
        <v>188200</v>
      </c>
      <c r="AD2" s="2">
        <v>451900</v>
      </c>
      <c r="AE2" s="2">
        <v>166200</v>
      </c>
      <c r="AF2" s="2">
        <v>263700</v>
      </c>
      <c r="AG2" s="2">
        <f>AVERAGE(AB2:AF2)</f>
        <v>283180</v>
      </c>
      <c r="AH2" s="2">
        <v>1</v>
      </c>
      <c r="AI2" s="2">
        <v>0</v>
      </c>
      <c r="AJ2" s="2">
        <v>0</v>
      </c>
      <c r="AK2" s="2">
        <v>1</v>
      </c>
      <c r="AL2" s="2">
        <v>1</v>
      </c>
      <c r="AM2" s="2">
        <v>0</v>
      </c>
      <c r="AN2" s="2">
        <v>0</v>
      </c>
      <c r="AO2" s="2">
        <v>0</v>
      </c>
      <c r="AP2" s="2">
        <v>0</v>
      </c>
      <c r="AQ2" s="2">
        <v>1</v>
      </c>
      <c r="AR2" s="2">
        <v>1</v>
      </c>
      <c r="AS2" s="2">
        <v>16.36</v>
      </c>
      <c r="AT2" s="2">
        <v>26.63</v>
      </c>
      <c r="AU2" s="2">
        <v>98.6</v>
      </c>
      <c r="AV2" s="2">
        <v>1.4</v>
      </c>
      <c r="AW2" s="2">
        <v>0</v>
      </c>
      <c r="AX2" s="2">
        <v>1</v>
      </c>
      <c r="AY2" s="2">
        <v>69.8</v>
      </c>
      <c r="AZ2" s="2">
        <v>66</v>
      </c>
      <c r="BA2" s="2">
        <v>59.6</v>
      </c>
      <c r="BB2" s="2">
        <v>63.5</v>
      </c>
      <c r="BC2" s="2">
        <v>67.2</v>
      </c>
      <c r="BD2" s="2">
        <v>0</v>
      </c>
      <c r="BE2" s="2">
        <v>18.5</v>
      </c>
      <c r="BF2" s="2">
        <v>9.9</v>
      </c>
      <c r="BG2" s="2">
        <v>0</v>
      </c>
      <c r="BH2" s="2">
        <v>0</v>
      </c>
      <c r="BI2" s="2">
        <v>43.7</v>
      </c>
      <c r="BJ2" s="2">
        <v>1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2</v>
      </c>
      <c r="BV2" s="2">
        <v>27</v>
      </c>
      <c r="BW2" s="2">
        <v>29</v>
      </c>
      <c r="BX2" s="2">
        <v>26</v>
      </c>
      <c r="BY2" s="2">
        <v>4</v>
      </c>
      <c r="BZ2" s="2">
        <v>1</v>
      </c>
      <c r="CA2" s="2">
        <v>1</v>
      </c>
      <c r="CB2" s="2">
        <v>0</v>
      </c>
      <c r="CC2" s="2">
        <v>0</v>
      </c>
      <c r="CD2" s="2">
        <v>6</v>
      </c>
      <c r="CE2" s="2">
        <v>5</v>
      </c>
      <c r="CF2" s="2">
        <v>1</v>
      </c>
      <c r="CG2" s="2">
        <v>0</v>
      </c>
      <c r="CH2" s="2" t="s">
        <v>138</v>
      </c>
      <c r="CI2" s="2">
        <v>1.9</v>
      </c>
      <c r="CJ2" s="2" t="s">
        <v>139</v>
      </c>
      <c r="CK2" s="2">
        <v>1</v>
      </c>
      <c r="CL2" s="2">
        <v>27</v>
      </c>
      <c r="CM2" s="2" t="s">
        <v>140</v>
      </c>
      <c r="CN2" s="2">
        <v>1.4199999E-2</v>
      </c>
      <c r="CO2" s="2">
        <v>0.9</v>
      </c>
      <c r="CP2" s="2">
        <v>1</v>
      </c>
      <c r="CQ2" s="2" t="s">
        <v>137</v>
      </c>
      <c r="CR2" s="2">
        <v>-0.14199999999999999</v>
      </c>
      <c r="CS2" s="2">
        <v>-7.0000000000000007E-2</v>
      </c>
      <c r="CT2" s="2">
        <v>-7.1999999999999981E-2</v>
      </c>
      <c r="CU2" s="2">
        <v>-0.14199999999999999</v>
      </c>
      <c r="CV2" s="2">
        <v>5</v>
      </c>
      <c r="CW2" s="2">
        <v>-1.2</v>
      </c>
      <c r="CX2" s="2">
        <v>-0.36659999999999998</v>
      </c>
      <c r="CY2" s="2">
        <v>6.26</v>
      </c>
      <c r="CZ2" s="2">
        <v>8.18</v>
      </c>
      <c r="DA2" s="2" t="s">
        <v>141</v>
      </c>
      <c r="DB2" s="2">
        <v>0</v>
      </c>
      <c r="DC2" s="2">
        <v>1</v>
      </c>
      <c r="DD2" s="2">
        <v>1</v>
      </c>
      <c r="DE2" s="2">
        <v>0</v>
      </c>
      <c r="DF2" s="2">
        <v>0</v>
      </c>
      <c r="DG2" s="2">
        <v>133175000</v>
      </c>
      <c r="DH2" s="2">
        <v>25.66</v>
      </c>
      <c r="DI2" s="2">
        <v>39.61</v>
      </c>
      <c r="DJ2" s="2">
        <v>138192000</v>
      </c>
      <c r="DK2" s="2">
        <v>-5017000</v>
      </c>
      <c r="DL2" s="2">
        <v>293191008</v>
      </c>
      <c r="DM2" s="2">
        <v>33477000</v>
      </c>
      <c r="DN2" s="2">
        <v>259714008</v>
      </c>
      <c r="DO2" s="2">
        <v>8.76</v>
      </c>
      <c r="DP2" s="2">
        <v>1.28</v>
      </c>
      <c r="DQ2" s="2">
        <v>0.38</v>
      </c>
      <c r="DR2" s="2" t="s">
        <v>137</v>
      </c>
      <c r="DS2" s="2">
        <v>6.26</v>
      </c>
      <c r="DT2" s="2">
        <v>8.18</v>
      </c>
      <c r="DU2" s="2" t="s">
        <v>137</v>
      </c>
      <c r="DV2" s="2">
        <v>2.12</v>
      </c>
      <c r="DW2" s="2">
        <v>3.9</v>
      </c>
      <c r="DX2" s="2">
        <v>0</v>
      </c>
      <c r="DY2" s="2">
        <v>0</v>
      </c>
      <c r="DZ2" s="2">
        <v>26</v>
      </c>
      <c r="EA2" s="2">
        <v>20</v>
      </c>
      <c r="EB2" s="2">
        <v>2</v>
      </c>
      <c r="EC2" s="2">
        <v>46</v>
      </c>
      <c r="ED2" s="2">
        <v>0</v>
      </c>
    </row>
    <row r="3" spans="1:134" x14ac:dyDescent="0.2">
      <c r="A3" t="s">
        <v>553</v>
      </c>
      <c r="B3" t="s">
        <v>554</v>
      </c>
      <c r="C3" t="s">
        <v>180</v>
      </c>
      <c r="D3" t="s">
        <v>555</v>
      </c>
      <c r="E3">
        <v>1054956800</v>
      </c>
      <c r="F3">
        <v>18.399999999999999</v>
      </c>
      <c r="G3">
        <v>18.079999999999998</v>
      </c>
      <c r="H3">
        <v>17.940000000000001</v>
      </c>
      <c r="I3">
        <v>17.78</v>
      </c>
      <c r="J3">
        <v>17.87</v>
      </c>
      <c r="K3">
        <v>18.03</v>
      </c>
      <c r="L3">
        <v>18.2</v>
      </c>
      <c r="M3">
        <v>18.38</v>
      </c>
      <c r="N3">
        <v>18.75</v>
      </c>
      <c r="O3">
        <v>18.48</v>
      </c>
      <c r="P3">
        <v>0.81</v>
      </c>
      <c r="Q3">
        <v>17.14</v>
      </c>
      <c r="R3">
        <v>20.49</v>
      </c>
      <c r="S3">
        <v>18.47</v>
      </c>
      <c r="T3">
        <v>-0.1</v>
      </c>
      <c r="U3">
        <v>18.05</v>
      </c>
      <c r="V3">
        <v>17.54</v>
      </c>
      <c r="W3">
        <v>15.89</v>
      </c>
      <c r="X3">
        <v>15.02</v>
      </c>
      <c r="Y3">
        <v>19.899999999999999</v>
      </c>
      <c r="Z3">
        <v>21.23</v>
      </c>
      <c r="AA3">
        <v>22.29</v>
      </c>
      <c r="AB3">
        <v>895700</v>
      </c>
      <c r="AC3">
        <v>814900</v>
      </c>
      <c r="AD3">
        <v>711700</v>
      </c>
      <c r="AE3">
        <v>618200</v>
      </c>
      <c r="AF3">
        <v>567700</v>
      </c>
      <c r="AG3" s="2">
        <f>AVERAGE(AB3:AF3)</f>
        <v>721640</v>
      </c>
      <c r="AH3">
        <v>0</v>
      </c>
      <c r="AI3">
        <v>0</v>
      </c>
      <c r="AJ3">
        <v>1</v>
      </c>
      <c r="AK3">
        <v>1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1</v>
      </c>
      <c r="AS3">
        <v>10.56</v>
      </c>
      <c r="AT3">
        <v>22.02</v>
      </c>
      <c r="AU3">
        <v>69.099999999999994</v>
      </c>
      <c r="AV3">
        <v>30.9</v>
      </c>
      <c r="AW3">
        <v>0</v>
      </c>
      <c r="AX3">
        <v>1</v>
      </c>
      <c r="AY3">
        <v>44</v>
      </c>
      <c r="AZ3">
        <v>41.9</v>
      </c>
      <c r="BA3">
        <v>44.3</v>
      </c>
      <c r="BB3">
        <v>47.5</v>
      </c>
      <c r="BC3">
        <v>48.4</v>
      </c>
      <c r="BD3">
        <v>0</v>
      </c>
      <c r="BE3">
        <v>23.8</v>
      </c>
      <c r="BF3">
        <v>13.1</v>
      </c>
      <c r="BG3">
        <v>0</v>
      </c>
      <c r="BH3">
        <v>0</v>
      </c>
      <c r="BI3">
        <v>19.399999999999999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1.1666700000000001</v>
      </c>
      <c r="BV3">
        <v>22.4</v>
      </c>
      <c r="BW3">
        <v>24</v>
      </c>
      <c r="BX3">
        <v>21</v>
      </c>
      <c r="BY3">
        <v>1</v>
      </c>
      <c r="BZ3">
        <v>5</v>
      </c>
      <c r="CA3">
        <v>0</v>
      </c>
      <c r="CB3">
        <v>0</v>
      </c>
      <c r="CC3">
        <v>0</v>
      </c>
      <c r="CD3">
        <v>6</v>
      </c>
      <c r="CE3">
        <v>6</v>
      </c>
      <c r="CF3">
        <v>0</v>
      </c>
      <c r="CG3">
        <v>0</v>
      </c>
      <c r="CH3" t="s">
        <v>268</v>
      </c>
      <c r="CI3">
        <v>21.2</v>
      </c>
      <c r="CJ3" t="s">
        <v>237</v>
      </c>
      <c r="CK3">
        <v>1</v>
      </c>
      <c r="CL3">
        <v>22.4</v>
      </c>
      <c r="CM3" t="s">
        <v>556</v>
      </c>
      <c r="CN3">
        <v>0.122600004</v>
      </c>
      <c r="CO3">
        <v>4.49</v>
      </c>
      <c r="CP3">
        <v>2</v>
      </c>
      <c r="CQ3" t="s">
        <v>137</v>
      </c>
      <c r="CR3">
        <v>0.39</v>
      </c>
      <c r="CS3">
        <v>0.34399999999999997</v>
      </c>
      <c r="CT3">
        <v>4.6000000000000041E-2</v>
      </c>
      <c r="CU3">
        <v>0.39</v>
      </c>
      <c r="CV3">
        <v>5</v>
      </c>
      <c r="CW3">
        <v>0.77269995000000002</v>
      </c>
      <c r="CX3">
        <v>0.252</v>
      </c>
      <c r="CY3">
        <v>13.2</v>
      </c>
      <c r="CZ3">
        <v>9.8800000000000008</v>
      </c>
      <c r="DA3" t="s">
        <v>148</v>
      </c>
      <c r="DB3">
        <v>0</v>
      </c>
      <c r="DC3">
        <v>0</v>
      </c>
      <c r="DD3">
        <v>0</v>
      </c>
      <c r="DE3">
        <v>0</v>
      </c>
      <c r="DF3">
        <v>0</v>
      </c>
      <c r="DG3">
        <v>116983000</v>
      </c>
      <c r="DH3">
        <v>11.09</v>
      </c>
      <c r="DI3">
        <v>9.0399999999999991</v>
      </c>
      <c r="DJ3">
        <v>131303000</v>
      </c>
      <c r="DK3">
        <v>-14320000</v>
      </c>
      <c r="DL3">
        <v>128315000</v>
      </c>
      <c r="DM3">
        <v>77659000</v>
      </c>
      <c r="DN3">
        <v>50656000</v>
      </c>
      <c r="DO3">
        <v>1.65</v>
      </c>
      <c r="DP3">
        <v>1.22</v>
      </c>
      <c r="DQ3">
        <v>1.19</v>
      </c>
      <c r="DR3">
        <v>1.1299999999999999</v>
      </c>
      <c r="DS3">
        <v>13.2</v>
      </c>
      <c r="DT3">
        <v>9.8800000000000008</v>
      </c>
      <c r="DU3">
        <v>1.1299999999999999</v>
      </c>
      <c r="DV3">
        <v>17.149999999999999</v>
      </c>
      <c r="DW3">
        <v>9.02</v>
      </c>
      <c r="DX3">
        <v>0</v>
      </c>
      <c r="DY3">
        <v>0</v>
      </c>
      <c r="DZ3">
        <v>57</v>
      </c>
      <c r="EA3">
        <v>25</v>
      </c>
      <c r="EB3">
        <v>2</v>
      </c>
      <c r="EC3">
        <v>82</v>
      </c>
      <c r="ED3">
        <v>0</v>
      </c>
    </row>
    <row r="4" spans="1:134" hidden="1" x14ac:dyDescent="0.2">
      <c r="A4" t="s">
        <v>149</v>
      </c>
      <c r="B4" t="s">
        <v>150</v>
      </c>
      <c r="C4" t="s">
        <v>135</v>
      </c>
      <c r="D4" t="s">
        <v>151</v>
      </c>
      <c r="E4">
        <v>78896752</v>
      </c>
      <c r="F4">
        <v>3.55</v>
      </c>
      <c r="G4">
        <v>3.51</v>
      </c>
      <c r="H4">
        <v>3.51</v>
      </c>
      <c r="I4">
        <v>3.52</v>
      </c>
      <c r="J4">
        <v>3.49</v>
      </c>
      <c r="K4">
        <v>3.39</v>
      </c>
      <c r="L4">
        <v>3.44</v>
      </c>
      <c r="M4">
        <v>3.55</v>
      </c>
      <c r="N4">
        <v>3.51</v>
      </c>
      <c r="O4">
        <v>3.5</v>
      </c>
      <c r="P4">
        <v>0.13</v>
      </c>
      <c r="Q4">
        <v>3.38</v>
      </c>
      <c r="R4">
        <v>3.68</v>
      </c>
      <c r="S4">
        <v>3.54</v>
      </c>
      <c r="T4">
        <v>1.1000000000000001</v>
      </c>
      <c r="U4">
        <v>3.08</v>
      </c>
      <c r="V4">
        <v>3.45</v>
      </c>
      <c r="W4">
        <v>3.39</v>
      </c>
      <c r="X4">
        <v>3.24</v>
      </c>
      <c r="Y4">
        <v>3.54</v>
      </c>
      <c r="Z4">
        <v>3.6</v>
      </c>
      <c r="AA4">
        <v>3.68</v>
      </c>
      <c r="AB4">
        <v>67200</v>
      </c>
      <c r="AC4">
        <v>41500</v>
      </c>
      <c r="AD4">
        <v>184200</v>
      </c>
      <c r="AE4">
        <v>62300</v>
      </c>
      <c r="AF4">
        <v>85000</v>
      </c>
      <c r="AG4" s="2">
        <f>AVERAGE(AB4:AF4)</f>
        <v>88040</v>
      </c>
      <c r="AH4">
        <v>0</v>
      </c>
      <c r="AI4">
        <v>1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1</v>
      </c>
      <c r="AS4">
        <v>2.09</v>
      </c>
      <c r="AT4">
        <v>4.6500000000000004</v>
      </c>
      <c r="AU4">
        <v>55.1</v>
      </c>
      <c r="AV4">
        <v>44.9</v>
      </c>
      <c r="AW4">
        <v>0</v>
      </c>
      <c r="AX4">
        <v>0</v>
      </c>
      <c r="AY4">
        <v>59.6</v>
      </c>
      <c r="AZ4">
        <v>60</v>
      </c>
      <c r="BA4">
        <v>53</v>
      </c>
      <c r="BB4">
        <v>59.3</v>
      </c>
      <c r="BC4">
        <v>56.7</v>
      </c>
      <c r="BD4">
        <v>0</v>
      </c>
      <c r="BE4">
        <v>22.5</v>
      </c>
      <c r="BF4">
        <v>13.2</v>
      </c>
      <c r="BG4">
        <v>0</v>
      </c>
      <c r="BH4">
        <v>0</v>
      </c>
      <c r="BI4">
        <v>39.5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 t="s">
        <v>137</v>
      </c>
      <c r="BV4">
        <v>8</v>
      </c>
      <c r="BW4">
        <v>8</v>
      </c>
      <c r="BX4">
        <v>8</v>
      </c>
      <c r="BY4">
        <v>0</v>
      </c>
      <c r="BZ4">
        <v>1</v>
      </c>
      <c r="CA4">
        <v>2</v>
      </c>
      <c r="CB4">
        <v>0</v>
      </c>
      <c r="CC4">
        <v>0</v>
      </c>
      <c r="CD4">
        <v>3</v>
      </c>
      <c r="CE4">
        <v>1</v>
      </c>
      <c r="CF4">
        <v>2</v>
      </c>
      <c r="CG4">
        <v>0</v>
      </c>
      <c r="CH4" t="s">
        <v>152</v>
      </c>
      <c r="CI4">
        <v>128.6</v>
      </c>
      <c r="CJ4" t="s">
        <v>139</v>
      </c>
      <c r="CK4">
        <v>0</v>
      </c>
      <c r="CL4">
        <v>8</v>
      </c>
      <c r="CM4" t="s">
        <v>153</v>
      </c>
      <c r="CN4">
        <v>4.9399999999999999E-2</v>
      </c>
      <c r="CO4">
        <v>6.69</v>
      </c>
      <c r="CP4">
        <v>0</v>
      </c>
      <c r="CQ4" t="s">
        <v>137</v>
      </c>
      <c r="CR4">
        <v>0.16</v>
      </c>
      <c r="CS4">
        <v>0.215</v>
      </c>
      <c r="CT4">
        <v>-5.4999999999999993E-2</v>
      </c>
      <c r="CU4">
        <v>0.16</v>
      </c>
      <c r="CV4">
        <v>2</v>
      </c>
      <c r="CW4">
        <v>1.2807001</v>
      </c>
      <c r="CX4">
        <v>2.0947</v>
      </c>
      <c r="CY4">
        <v>18.420000000000002</v>
      </c>
      <c r="CZ4">
        <v>4.75</v>
      </c>
      <c r="DA4" t="s">
        <v>154</v>
      </c>
      <c r="DB4">
        <v>0</v>
      </c>
      <c r="DC4">
        <v>0</v>
      </c>
      <c r="DD4">
        <v>0.5</v>
      </c>
      <c r="DE4">
        <v>0</v>
      </c>
      <c r="DF4">
        <v>0</v>
      </c>
      <c r="DG4">
        <v>11235352</v>
      </c>
      <c r="DH4">
        <v>14.24</v>
      </c>
      <c r="DI4">
        <v>58.72</v>
      </c>
      <c r="DJ4">
        <v>11235352</v>
      </c>
      <c r="DK4" t="s">
        <v>137</v>
      </c>
      <c r="DL4">
        <v>106508624</v>
      </c>
      <c r="DM4">
        <v>206575328</v>
      </c>
      <c r="DN4">
        <v>-100066704</v>
      </c>
      <c r="DO4">
        <v>0.52</v>
      </c>
      <c r="DP4">
        <v>0.81</v>
      </c>
      <c r="DQ4">
        <v>0.8</v>
      </c>
      <c r="DR4" t="s">
        <v>137</v>
      </c>
      <c r="DS4">
        <v>18.420000000000002</v>
      </c>
      <c r="DT4">
        <v>4.75</v>
      </c>
      <c r="DU4" t="s">
        <v>137</v>
      </c>
      <c r="DV4" t="s">
        <v>137</v>
      </c>
      <c r="DW4">
        <v>7.02</v>
      </c>
      <c r="DX4">
        <v>1.41</v>
      </c>
      <c r="DY4">
        <v>0</v>
      </c>
      <c r="DZ4">
        <v>21</v>
      </c>
      <c r="EA4">
        <v>10</v>
      </c>
      <c r="EB4">
        <v>1</v>
      </c>
      <c r="EC4">
        <v>31</v>
      </c>
      <c r="ED4">
        <v>0</v>
      </c>
    </row>
    <row r="5" spans="1:134" hidden="1" x14ac:dyDescent="0.2">
      <c r="A5" t="s">
        <v>155</v>
      </c>
      <c r="B5" t="s">
        <v>156</v>
      </c>
      <c r="C5" t="s">
        <v>157</v>
      </c>
      <c r="D5" t="s">
        <v>158</v>
      </c>
      <c r="E5">
        <v>810715712</v>
      </c>
      <c r="F5">
        <v>9.75</v>
      </c>
      <c r="G5">
        <v>9.7100000000000009</v>
      </c>
      <c r="H5">
        <v>9.73</v>
      </c>
      <c r="I5">
        <v>9.56</v>
      </c>
      <c r="J5">
        <v>9.5</v>
      </c>
      <c r="K5">
        <v>9.15</v>
      </c>
      <c r="L5">
        <v>9.25</v>
      </c>
      <c r="M5">
        <v>9.09</v>
      </c>
      <c r="N5">
        <v>9.08</v>
      </c>
      <c r="O5">
        <v>9.02</v>
      </c>
      <c r="P5">
        <v>0.19</v>
      </c>
      <c r="Q5">
        <v>8.8699999999999992</v>
      </c>
      <c r="R5">
        <v>9.25</v>
      </c>
      <c r="S5">
        <v>9.02</v>
      </c>
      <c r="T5">
        <v>0</v>
      </c>
      <c r="U5">
        <v>9.43</v>
      </c>
      <c r="V5">
        <v>8.9700000000000006</v>
      </c>
      <c r="W5">
        <v>8.7799999999999994</v>
      </c>
      <c r="X5">
        <v>8.58</v>
      </c>
      <c r="Y5">
        <v>9.1300000000000008</v>
      </c>
      <c r="Z5">
        <v>9.32</v>
      </c>
      <c r="AA5">
        <v>9.57</v>
      </c>
      <c r="AB5">
        <v>564500</v>
      </c>
      <c r="AC5">
        <v>650300</v>
      </c>
      <c r="AD5">
        <v>1539000</v>
      </c>
      <c r="AE5">
        <v>1022900</v>
      </c>
      <c r="AF5">
        <v>834000</v>
      </c>
      <c r="AG5" s="2">
        <f>AVERAGE(AB5:AF5)</f>
        <v>922140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6.58</v>
      </c>
      <c r="AT5">
        <v>10.23</v>
      </c>
      <c r="AU5">
        <v>66.8</v>
      </c>
      <c r="AV5">
        <v>33.200000000000003</v>
      </c>
      <c r="AW5">
        <v>0</v>
      </c>
      <c r="AX5">
        <v>0</v>
      </c>
      <c r="AY5">
        <v>51.2</v>
      </c>
      <c r="AZ5">
        <v>45</v>
      </c>
      <c r="BA5">
        <v>33.1</v>
      </c>
      <c r="BB5">
        <v>31.8</v>
      </c>
      <c r="BC5">
        <v>30.3</v>
      </c>
      <c r="BD5">
        <v>0</v>
      </c>
      <c r="BE5">
        <v>0</v>
      </c>
      <c r="BF5">
        <v>1.9</v>
      </c>
      <c r="BG5">
        <v>0</v>
      </c>
      <c r="BH5">
        <v>0</v>
      </c>
      <c r="BI5">
        <v>21.9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2.5714299999999999</v>
      </c>
      <c r="BV5">
        <v>12.125</v>
      </c>
      <c r="BW5">
        <v>24</v>
      </c>
      <c r="BX5">
        <v>9.5</v>
      </c>
      <c r="BY5">
        <v>1</v>
      </c>
      <c r="BZ5">
        <v>1</v>
      </c>
      <c r="CA5">
        <v>5</v>
      </c>
      <c r="CB5">
        <v>0</v>
      </c>
      <c r="CC5">
        <v>0</v>
      </c>
      <c r="CD5">
        <v>7</v>
      </c>
      <c r="CE5">
        <v>2</v>
      </c>
      <c r="CF5">
        <v>5</v>
      </c>
      <c r="CG5">
        <v>0</v>
      </c>
      <c r="CH5" t="s">
        <v>146</v>
      </c>
      <c r="CI5">
        <v>34.4</v>
      </c>
      <c r="CJ5" t="s">
        <v>139</v>
      </c>
      <c r="CK5">
        <v>0</v>
      </c>
      <c r="CL5">
        <v>9.75</v>
      </c>
      <c r="CM5" t="s">
        <v>159</v>
      </c>
      <c r="CN5">
        <v>4.19E-2</v>
      </c>
      <c r="CO5">
        <v>3.58</v>
      </c>
      <c r="CP5">
        <v>0</v>
      </c>
      <c r="CQ5" t="s">
        <v>137</v>
      </c>
      <c r="CR5">
        <v>0.29186000000000001</v>
      </c>
      <c r="CS5">
        <v>0.25675999999999999</v>
      </c>
      <c r="CT5">
        <v>3.510000000000002E-2</v>
      </c>
      <c r="CU5">
        <v>0.29186000000000001</v>
      </c>
      <c r="CV5">
        <v>6</v>
      </c>
      <c r="CW5">
        <v>0.21609999999999999</v>
      </c>
      <c r="CX5">
        <v>0.38229999999999997</v>
      </c>
      <c r="CY5">
        <v>5.37</v>
      </c>
      <c r="CZ5">
        <v>7.23</v>
      </c>
      <c r="DA5" t="s">
        <v>160</v>
      </c>
      <c r="DB5">
        <v>0</v>
      </c>
      <c r="DC5">
        <v>0</v>
      </c>
      <c r="DD5">
        <v>0</v>
      </c>
      <c r="DE5">
        <v>0</v>
      </c>
      <c r="DF5">
        <v>0</v>
      </c>
      <c r="DG5">
        <v>134040000</v>
      </c>
      <c r="DH5">
        <v>16.53</v>
      </c>
      <c r="DI5">
        <v>35.119999999999997</v>
      </c>
      <c r="DJ5">
        <v>134040000</v>
      </c>
      <c r="DK5" t="s">
        <v>137</v>
      </c>
      <c r="DL5">
        <v>215572992</v>
      </c>
      <c r="DM5">
        <v>11321198592</v>
      </c>
      <c r="DN5">
        <v>-11105625600</v>
      </c>
      <c r="DO5">
        <v>0.02</v>
      </c>
      <c r="DP5">
        <v>0.84</v>
      </c>
      <c r="DQ5">
        <v>0.82</v>
      </c>
      <c r="DR5">
        <v>2.5</v>
      </c>
      <c r="DS5">
        <v>5.37</v>
      </c>
      <c r="DT5">
        <v>7.23</v>
      </c>
      <c r="DU5">
        <v>2.5</v>
      </c>
      <c r="DV5" t="s">
        <v>137</v>
      </c>
      <c r="DW5">
        <v>6.05</v>
      </c>
      <c r="DX5">
        <v>7.11</v>
      </c>
      <c r="DY5">
        <v>0</v>
      </c>
      <c r="DZ5">
        <v>36</v>
      </c>
      <c r="EA5">
        <v>10</v>
      </c>
      <c r="EB5">
        <v>1</v>
      </c>
      <c r="EC5">
        <v>46</v>
      </c>
      <c r="ED5">
        <v>0</v>
      </c>
    </row>
    <row r="6" spans="1:134" hidden="1" x14ac:dyDescent="0.2">
      <c r="A6" t="s">
        <v>161</v>
      </c>
      <c r="B6" t="s">
        <v>162</v>
      </c>
      <c r="C6" t="s">
        <v>135</v>
      </c>
      <c r="D6" t="s">
        <v>163</v>
      </c>
      <c r="E6">
        <v>721128576</v>
      </c>
      <c r="F6">
        <v>39.42</v>
      </c>
      <c r="G6">
        <v>39.090000000000003</v>
      </c>
      <c r="H6">
        <v>38.909999999999997</v>
      </c>
      <c r="I6">
        <v>38.67</v>
      </c>
      <c r="J6">
        <v>38.64</v>
      </c>
      <c r="K6">
        <v>39.07</v>
      </c>
      <c r="L6">
        <v>39.549999999999997</v>
      </c>
      <c r="M6">
        <v>39.15</v>
      </c>
      <c r="N6">
        <v>38.950000000000003</v>
      </c>
      <c r="O6">
        <v>38.93</v>
      </c>
      <c r="P6">
        <v>0.82</v>
      </c>
      <c r="Q6">
        <v>37.9</v>
      </c>
      <c r="R6">
        <v>40.479999999999997</v>
      </c>
      <c r="S6">
        <v>38.909999999999997</v>
      </c>
      <c r="T6">
        <v>-0.1</v>
      </c>
      <c r="U6">
        <v>39.61</v>
      </c>
      <c r="V6">
        <v>38.31</v>
      </c>
      <c r="W6">
        <v>37.29</v>
      </c>
      <c r="X6">
        <v>35.71</v>
      </c>
      <c r="Y6">
        <v>39.869999999999997</v>
      </c>
      <c r="Z6">
        <v>40.29</v>
      </c>
      <c r="AA6">
        <v>41.1</v>
      </c>
      <c r="AB6">
        <v>68300</v>
      </c>
      <c r="AC6">
        <v>78700</v>
      </c>
      <c r="AD6">
        <v>57500</v>
      </c>
      <c r="AE6">
        <v>55300</v>
      </c>
      <c r="AF6">
        <v>76400</v>
      </c>
      <c r="AG6" s="2">
        <f>AVERAGE(AB6:AF6)</f>
        <v>67240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26.05</v>
      </c>
      <c r="AT6">
        <v>42.5</v>
      </c>
      <c r="AU6">
        <v>78.3</v>
      </c>
      <c r="AV6">
        <v>21.7</v>
      </c>
      <c r="AW6">
        <v>0</v>
      </c>
      <c r="AX6">
        <v>0</v>
      </c>
      <c r="AY6">
        <v>51.5</v>
      </c>
      <c r="AZ6">
        <v>47.5</v>
      </c>
      <c r="BA6">
        <v>51.3</v>
      </c>
      <c r="BB6">
        <v>52.1</v>
      </c>
      <c r="BC6">
        <v>49.8</v>
      </c>
      <c r="BD6">
        <v>0</v>
      </c>
      <c r="BE6">
        <v>78.3</v>
      </c>
      <c r="BF6">
        <v>76</v>
      </c>
      <c r="BG6">
        <v>0</v>
      </c>
      <c r="BH6">
        <v>0</v>
      </c>
      <c r="BI6">
        <v>17.600000000000001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2.5</v>
      </c>
      <c r="BV6">
        <v>43.5</v>
      </c>
      <c r="BW6">
        <v>46</v>
      </c>
      <c r="BX6">
        <v>42</v>
      </c>
      <c r="BY6">
        <v>2</v>
      </c>
      <c r="BZ6">
        <v>0</v>
      </c>
      <c r="CA6">
        <v>2</v>
      </c>
      <c r="CB6">
        <v>0</v>
      </c>
      <c r="CC6">
        <v>0</v>
      </c>
      <c r="CD6">
        <v>4</v>
      </c>
      <c r="CE6">
        <v>2</v>
      </c>
      <c r="CF6">
        <v>2</v>
      </c>
      <c r="CG6">
        <v>0</v>
      </c>
      <c r="CH6" t="s">
        <v>138</v>
      </c>
      <c r="CI6">
        <v>11.7</v>
      </c>
      <c r="CJ6" t="s">
        <v>139</v>
      </c>
      <c r="CK6">
        <v>0</v>
      </c>
      <c r="CL6">
        <v>43.5</v>
      </c>
      <c r="CM6" t="s">
        <v>164</v>
      </c>
      <c r="CN6">
        <v>0.03</v>
      </c>
      <c r="CO6">
        <v>5.91</v>
      </c>
      <c r="CP6">
        <v>0</v>
      </c>
      <c r="CQ6" t="s">
        <v>137</v>
      </c>
      <c r="CR6">
        <v>0.93500000000000005</v>
      </c>
      <c r="CS6">
        <v>0.93332999999999999</v>
      </c>
      <c r="CT6">
        <v>1.6700000000000601E-3</v>
      </c>
      <c r="CU6">
        <v>0.93500000000000005</v>
      </c>
      <c r="CV6">
        <v>4</v>
      </c>
      <c r="CW6">
        <v>0.15429999999999999</v>
      </c>
      <c r="CX6">
        <v>0.28039999999999998</v>
      </c>
      <c r="CY6">
        <v>12.56</v>
      </c>
      <c r="CZ6">
        <v>9.0399999999999991</v>
      </c>
      <c r="DA6" t="s">
        <v>165</v>
      </c>
      <c r="DB6">
        <v>0</v>
      </c>
      <c r="DC6">
        <v>0</v>
      </c>
      <c r="DD6">
        <v>0</v>
      </c>
      <c r="DE6">
        <v>0</v>
      </c>
      <c r="DF6">
        <v>0</v>
      </c>
      <c r="DG6">
        <v>36191000</v>
      </c>
      <c r="DH6">
        <v>5.0199999999999996</v>
      </c>
      <c r="DI6">
        <v>21.27</v>
      </c>
      <c r="DJ6">
        <v>41280000</v>
      </c>
      <c r="DK6">
        <v>-5089000</v>
      </c>
      <c r="DL6">
        <v>196812992</v>
      </c>
      <c r="DM6">
        <v>338569984</v>
      </c>
      <c r="DN6">
        <v>-141756992</v>
      </c>
      <c r="DO6">
        <v>0.57999999999999996</v>
      </c>
      <c r="DP6" t="s">
        <v>137</v>
      </c>
      <c r="DQ6" t="s">
        <v>137</v>
      </c>
      <c r="DR6">
        <v>2.84</v>
      </c>
      <c r="DS6">
        <v>12.56</v>
      </c>
      <c r="DT6">
        <v>9.0399999999999991</v>
      </c>
      <c r="DU6">
        <v>2.84</v>
      </c>
      <c r="DV6" t="s">
        <v>137</v>
      </c>
      <c r="DW6">
        <v>19.93</v>
      </c>
      <c r="DX6">
        <v>0.56000000000000005</v>
      </c>
      <c r="DY6">
        <v>0</v>
      </c>
      <c r="DZ6">
        <v>51</v>
      </c>
      <c r="EA6">
        <v>10</v>
      </c>
      <c r="EB6">
        <v>1</v>
      </c>
      <c r="EC6">
        <v>61</v>
      </c>
      <c r="ED6">
        <v>0</v>
      </c>
    </row>
    <row r="7" spans="1:134" x14ac:dyDescent="0.2">
      <c r="A7" s="2" t="s">
        <v>534</v>
      </c>
      <c r="B7" s="2" t="s">
        <v>535</v>
      </c>
      <c r="C7" s="2" t="s">
        <v>241</v>
      </c>
      <c r="D7" s="2" t="s">
        <v>242</v>
      </c>
      <c r="E7" s="2">
        <v>1792821248</v>
      </c>
      <c r="F7" s="2">
        <v>22.97</v>
      </c>
      <c r="G7" s="2">
        <v>22.08</v>
      </c>
      <c r="H7" s="2">
        <v>21.83</v>
      </c>
      <c r="I7" s="2">
        <v>21.6</v>
      </c>
      <c r="J7" s="2">
        <v>20.66</v>
      </c>
      <c r="K7" s="2">
        <v>20.3</v>
      </c>
      <c r="L7" s="2">
        <v>20.86</v>
      </c>
      <c r="M7" s="2">
        <v>19.97</v>
      </c>
      <c r="N7" s="2">
        <v>19.87</v>
      </c>
      <c r="O7" s="2">
        <v>21.49</v>
      </c>
      <c r="P7" s="2">
        <v>1.25</v>
      </c>
      <c r="Q7" s="2">
        <v>20.05</v>
      </c>
      <c r="R7" s="2">
        <v>23.65</v>
      </c>
      <c r="S7" s="2">
        <v>21.49</v>
      </c>
      <c r="T7" s="2">
        <v>0</v>
      </c>
      <c r="U7" s="2">
        <v>19.899999999999999</v>
      </c>
      <c r="V7" s="2">
        <v>20.68</v>
      </c>
      <c r="W7" s="2">
        <v>19.940000000000001</v>
      </c>
      <c r="X7" s="2">
        <v>19.55</v>
      </c>
      <c r="Y7" s="2">
        <v>21.89</v>
      </c>
      <c r="Z7" s="2">
        <v>22.29</v>
      </c>
      <c r="AA7" s="2">
        <v>23.22</v>
      </c>
      <c r="AB7" s="2">
        <v>1528900</v>
      </c>
      <c r="AC7" s="2">
        <v>1026800</v>
      </c>
      <c r="AD7" s="2">
        <v>3215300</v>
      </c>
      <c r="AE7" s="2">
        <v>2299500</v>
      </c>
      <c r="AF7" s="2">
        <v>2394400</v>
      </c>
      <c r="AG7" s="2">
        <f>AVERAGE(AB7:AF7)</f>
        <v>2092980</v>
      </c>
      <c r="AH7" s="2">
        <v>0</v>
      </c>
      <c r="AI7" s="2">
        <v>0</v>
      </c>
      <c r="AJ7" s="2">
        <v>0</v>
      </c>
      <c r="AK7" s="2">
        <v>0</v>
      </c>
      <c r="AL7" s="2">
        <v>1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1</v>
      </c>
      <c r="AS7" s="2">
        <v>10.64</v>
      </c>
      <c r="AT7" s="2">
        <v>43.81</v>
      </c>
      <c r="AU7" s="2">
        <v>32.700000000000003</v>
      </c>
      <c r="AV7" s="2">
        <v>67.3</v>
      </c>
      <c r="AW7" s="2">
        <v>0</v>
      </c>
      <c r="AX7" s="2">
        <v>0</v>
      </c>
      <c r="AY7" s="2">
        <v>55.7</v>
      </c>
      <c r="AZ7" s="2">
        <v>52.6</v>
      </c>
      <c r="BA7" s="2">
        <v>45.5</v>
      </c>
      <c r="BB7" s="2">
        <v>43.9</v>
      </c>
      <c r="BC7" s="2">
        <v>52.3</v>
      </c>
      <c r="BD7" s="2">
        <v>1</v>
      </c>
      <c r="BE7" s="2">
        <v>11.5</v>
      </c>
      <c r="BF7" s="2">
        <v>7.6</v>
      </c>
      <c r="BG7" s="2">
        <v>0</v>
      </c>
      <c r="BH7" s="2">
        <v>0</v>
      </c>
      <c r="BI7" s="2">
        <v>18.600000000000001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1.1818200000000001</v>
      </c>
      <c r="BV7" s="2">
        <v>28.909089999999999</v>
      </c>
      <c r="BW7" s="2">
        <v>36</v>
      </c>
      <c r="BX7" s="2">
        <v>23</v>
      </c>
      <c r="BY7" s="2">
        <v>2</v>
      </c>
      <c r="BZ7" s="2">
        <v>9</v>
      </c>
      <c r="CA7" s="2">
        <v>0</v>
      </c>
      <c r="CB7" s="2">
        <v>0</v>
      </c>
      <c r="CC7" s="2">
        <v>0</v>
      </c>
      <c r="CD7" s="2">
        <v>11</v>
      </c>
      <c r="CE7" s="2">
        <v>11</v>
      </c>
      <c r="CF7" s="2">
        <v>0</v>
      </c>
      <c r="CG7" s="2">
        <v>0</v>
      </c>
      <c r="CH7" s="2" t="s">
        <v>268</v>
      </c>
      <c r="CI7" s="2">
        <v>34.5</v>
      </c>
      <c r="CJ7" s="2" t="s">
        <v>237</v>
      </c>
      <c r="CK7" s="2">
        <v>1</v>
      </c>
      <c r="CL7" s="2">
        <v>29.25</v>
      </c>
      <c r="CM7" s="2" t="s">
        <v>536</v>
      </c>
      <c r="CN7" s="2">
        <v>0.14749999999999999</v>
      </c>
      <c r="CO7" s="2">
        <v>3.69</v>
      </c>
      <c r="CP7" s="2">
        <v>6</v>
      </c>
      <c r="CQ7" s="2" t="s">
        <v>137</v>
      </c>
      <c r="CR7" s="2">
        <v>0.99621000000000004</v>
      </c>
      <c r="CS7" s="2">
        <v>0.95570999999999995</v>
      </c>
      <c r="CT7" s="2">
        <v>4.0500000000000091E-2</v>
      </c>
      <c r="CU7" s="2">
        <v>0.99621000000000004</v>
      </c>
      <c r="CV7" s="2">
        <v>10</v>
      </c>
      <c r="CW7" s="2">
        <v>-2.3300000000000001E-2</v>
      </c>
      <c r="CX7" s="2">
        <v>0.13159999</v>
      </c>
      <c r="CY7" s="2">
        <v>15.24</v>
      </c>
      <c r="CZ7" s="2">
        <v>5.18</v>
      </c>
      <c r="DA7" s="2" t="s">
        <v>141</v>
      </c>
      <c r="DB7" s="2">
        <v>1</v>
      </c>
      <c r="DC7" s="2">
        <v>0</v>
      </c>
      <c r="DD7" s="2">
        <v>1</v>
      </c>
      <c r="DE7" s="2">
        <v>0</v>
      </c>
      <c r="DF7" s="2">
        <v>0</v>
      </c>
      <c r="DG7" s="2">
        <v>224718000</v>
      </c>
      <c r="DH7" s="2">
        <v>12.53</v>
      </c>
      <c r="DI7" s="2">
        <v>16.170000000000002</v>
      </c>
      <c r="DJ7" s="2">
        <v>238620000</v>
      </c>
      <c r="DK7" s="2">
        <v>-13902000</v>
      </c>
      <c r="DL7" s="2">
        <v>1289374976</v>
      </c>
      <c r="DM7" s="2">
        <v>907344000</v>
      </c>
      <c r="DN7" s="2">
        <v>382030976</v>
      </c>
      <c r="DO7" s="2">
        <v>1.42</v>
      </c>
      <c r="DP7" s="2">
        <v>14.58</v>
      </c>
      <c r="DQ7" s="2">
        <v>14.06</v>
      </c>
      <c r="DR7" s="2">
        <v>0.03</v>
      </c>
      <c r="DS7" s="2">
        <v>15.24</v>
      </c>
      <c r="DT7" s="2">
        <v>5.18</v>
      </c>
      <c r="DU7" s="2">
        <v>0.03</v>
      </c>
      <c r="DV7" s="2">
        <v>4.25</v>
      </c>
      <c r="DW7" s="2">
        <v>7.98</v>
      </c>
      <c r="DX7" s="2">
        <v>2.67</v>
      </c>
      <c r="DY7" s="2">
        <v>0</v>
      </c>
      <c r="DZ7" s="2">
        <v>51</v>
      </c>
      <c r="EA7" s="2">
        <v>30</v>
      </c>
      <c r="EB7" s="2">
        <v>3</v>
      </c>
      <c r="EC7" s="2">
        <v>81</v>
      </c>
      <c r="ED7" s="2">
        <v>1</v>
      </c>
    </row>
    <row r="8" spans="1:134" hidden="1" x14ac:dyDescent="0.2">
      <c r="A8" t="s">
        <v>169</v>
      </c>
      <c r="B8" t="s">
        <v>170</v>
      </c>
      <c r="C8" t="s">
        <v>171</v>
      </c>
      <c r="D8" t="s">
        <v>172</v>
      </c>
      <c r="E8">
        <v>364857216</v>
      </c>
      <c r="F8">
        <v>36.22</v>
      </c>
      <c r="G8">
        <v>36.69</v>
      </c>
      <c r="H8">
        <v>36.659999999999997</v>
      </c>
      <c r="I8">
        <v>36.51</v>
      </c>
      <c r="J8">
        <v>36.33</v>
      </c>
      <c r="K8">
        <v>35.9</v>
      </c>
      <c r="L8">
        <v>36</v>
      </c>
      <c r="M8">
        <v>35.85</v>
      </c>
      <c r="N8">
        <v>35.799999999999997</v>
      </c>
      <c r="O8">
        <v>35.33</v>
      </c>
      <c r="P8">
        <v>0.71</v>
      </c>
      <c r="Q8">
        <v>34.64</v>
      </c>
      <c r="R8">
        <v>36.369999999999997</v>
      </c>
      <c r="S8">
        <v>35.31</v>
      </c>
      <c r="T8">
        <v>-0.1</v>
      </c>
      <c r="U8">
        <v>34.909999999999997</v>
      </c>
      <c r="V8">
        <v>34.99</v>
      </c>
      <c r="W8">
        <v>33.82</v>
      </c>
      <c r="X8">
        <v>33.44</v>
      </c>
      <c r="Y8">
        <v>35.49</v>
      </c>
      <c r="Z8">
        <v>35.909999999999997</v>
      </c>
      <c r="AA8">
        <v>36.979999999999997</v>
      </c>
      <c r="AB8">
        <v>40000</v>
      </c>
      <c r="AC8">
        <v>28100</v>
      </c>
      <c r="AD8">
        <v>16300</v>
      </c>
      <c r="AE8">
        <v>35600</v>
      </c>
      <c r="AF8">
        <v>29200</v>
      </c>
      <c r="AG8" s="2">
        <f>AVERAGE(AB8:AF8)</f>
        <v>29840</v>
      </c>
      <c r="AH8">
        <v>1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1</v>
      </c>
      <c r="AS8">
        <v>30.5</v>
      </c>
      <c r="AT8">
        <v>36.69</v>
      </c>
      <c r="AU8">
        <v>78</v>
      </c>
      <c r="AV8">
        <v>22</v>
      </c>
      <c r="AW8">
        <v>0</v>
      </c>
      <c r="AX8">
        <v>0</v>
      </c>
      <c r="AY8">
        <v>69.400000000000006</v>
      </c>
      <c r="AZ8">
        <v>65.900000000000006</v>
      </c>
      <c r="BA8">
        <v>55.6</v>
      </c>
      <c r="BB8">
        <v>54.8</v>
      </c>
      <c r="BC8">
        <v>47.6</v>
      </c>
      <c r="BD8">
        <v>0</v>
      </c>
      <c r="BE8">
        <v>0</v>
      </c>
      <c r="BF8">
        <v>27.6</v>
      </c>
      <c r="BG8">
        <v>0</v>
      </c>
      <c r="BH8">
        <v>0</v>
      </c>
      <c r="BI8">
        <v>26.3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t="s">
        <v>137</v>
      </c>
      <c r="BV8" t="s">
        <v>137</v>
      </c>
      <c r="BW8" t="s">
        <v>137</v>
      </c>
      <c r="BX8" t="s">
        <v>137</v>
      </c>
      <c r="BY8" t="s">
        <v>137</v>
      </c>
      <c r="BZ8" t="s">
        <v>137</v>
      </c>
      <c r="CA8" t="s">
        <v>137</v>
      </c>
      <c r="CB8" t="s">
        <v>137</v>
      </c>
      <c r="CC8" t="s">
        <v>137</v>
      </c>
      <c r="CD8" t="s">
        <v>137</v>
      </c>
      <c r="CE8" t="s">
        <v>137</v>
      </c>
      <c r="CF8" t="s">
        <v>137</v>
      </c>
      <c r="CG8" t="s">
        <v>137</v>
      </c>
      <c r="CH8" t="s">
        <v>152</v>
      </c>
      <c r="CI8" t="s">
        <v>137</v>
      </c>
      <c r="CJ8" t="s">
        <v>139</v>
      </c>
      <c r="CK8">
        <v>0</v>
      </c>
      <c r="CL8">
        <v>43</v>
      </c>
      <c r="CM8" t="s">
        <v>173</v>
      </c>
      <c r="CN8">
        <v>7.7000000000000002E-3</v>
      </c>
      <c r="CO8">
        <v>2.11</v>
      </c>
      <c r="CP8" t="s">
        <v>137</v>
      </c>
      <c r="CQ8" t="s">
        <v>137</v>
      </c>
      <c r="CR8" t="s">
        <v>137</v>
      </c>
      <c r="CS8" t="s">
        <v>137</v>
      </c>
      <c r="CT8" t="s">
        <v>137</v>
      </c>
      <c r="CU8" t="s">
        <v>137</v>
      </c>
      <c r="CV8" t="s">
        <v>137</v>
      </c>
      <c r="CW8" t="s">
        <v>137</v>
      </c>
      <c r="CX8" t="s">
        <v>137</v>
      </c>
      <c r="CY8">
        <v>15.5</v>
      </c>
      <c r="CZ8">
        <v>16.899999999999999</v>
      </c>
      <c r="DA8" t="s">
        <v>165</v>
      </c>
      <c r="DB8">
        <v>0</v>
      </c>
      <c r="DC8">
        <v>0</v>
      </c>
      <c r="DD8">
        <v>0.5</v>
      </c>
      <c r="DE8">
        <v>0</v>
      </c>
      <c r="DF8">
        <v>0</v>
      </c>
      <c r="DG8">
        <v>-18499000</v>
      </c>
      <c r="DH8">
        <v>-5.07</v>
      </c>
      <c r="DI8">
        <v>-15.82</v>
      </c>
      <c r="DJ8">
        <v>40346000</v>
      </c>
      <c r="DK8">
        <v>-58845000</v>
      </c>
      <c r="DL8">
        <v>9804000</v>
      </c>
      <c r="DM8">
        <v>185495008</v>
      </c>
      <c r="DN8">
        <v>-175691008</v>
      </c>
      <c r="DO8">
        <v>0.05</v>
      </c>
      <c r="DP8">
        <v>1.01</v>
      </c>
      <c r="DQ8">
        <v>0.75</v>
      </c>
      <c r="DR8">
        <v>3.54</v>
      </c>
      <c r="DS8">
        <v>15.5</v>
      </c>
      <c r="DT8">
        <v>16.899999999999999</v>
      </c>
      <c r="DU8">
        <v>3.54</v>
      </c>
      <c r="DV8">
        <v>10.51</v>
      </c>
      <c r="DW8" t="s">
        <v>137</v>
      </c>
      <c r="DX8">
        <v>3.71</v>
      </c>
      <c r="DY8">
        <v>0</v>
      </c>
      <c r="DZ8">
        <v>6</v>
      </c>
      <c r="EA8">
        <v>20</v>
      </c>
      <c r="EB8">
        <v>2</v>
      </c>
      <c r="EC8">
        <v>26</v>
      </c>
      <c r="ED8">
        <v>0</v>
      </c>
    </row>
    <row r="9" spans="1:134" hidden="1" x14ac:dyDescent="0.2">
      <c r="A9" s="2" t="s">
        <v>174</v>
      </c>
      <c r="B9" s="2" t="s">
        <v>175</v>
      </c>
      <c r="C9" s="2" t="s">
        <v>135</v>
      </c>
      <c r="D9" s="2" t="s">
        <v>136</v>
      </c>
      <c r="E9" s="2">
        <v>1341474688</v>
      </c>
      <c r="F9" s="2">
        <v>27.16</v>
      </c>
      <c r="G9" s="2">
        <v>26.53</v>
      </c>
      <c r="H9" s="2">
        <v>26.28</v>
      </c>
      <c r="I9" s="2">
        <v>27.13</v>
      </c>
      <c r="J9" s="2">
        <v>27.27</v>
      </c>
      <c r="K9" s="2">
        <v>27.15</v>
      </c>
      <c r="L9" s="2">
        <v>27.61</v>
      </c>
      <c r="M9" s="2">
        <v>27.47</v>
      </c>
      <c r="N9" s="2">
        <v>27.7</v>
      </c>
      <c r="O9" s="2">
        <v>27.99</v>
      </c>
      <c r="P9" s="2">
        <v>0.98</v>
      </c>
      <c r="Q9" s="2">
        <v>25.65</v>
      </c>
      <c r="R9" s="2">
        <v>31.5</v>
      </c>
      <c r="S9" s="2">
        <v>28</v>
      </c>
      <c r="T9" s="2">
        <v>0</v>
      </c>
      <c r="U9" s="2">
        <v>25.07</v>
      </c>
      <c r="V9" s="2">
        <v>26.14</v>
      </c>
      <c r="W9" s="2">
        <v>25.77</v>
      </c>
      <c r="X9" s="2">
        <v>25.06</v>
      </c>
      <c r="Y9" s="2" t="s">
        <v>137</v>
      </c>
      <c r="Z9" s="2" t="s">
        <v>137</v>
      </c>
      <c r="AA9" s="2" t="s">
        <v>137</v>
      </c>
      <c r="AB9" s="2">
        <v>137400</v>
      </c>
      <c r="AC9" s="2">
        <v>69000</v>
      </c>
      <c r="AD9" s="2">
        <v>41900</v>
      </c>
      <c r="AE9" s="2">
        <v>40600</v>
      </c>
      <c r="AF9" s="2">
        <v>48700</v>
      </c>
      <c r="AG9" s="2">
        <f>AVERAGE(AB9:AF9)</f>
        <v>67520</v>
      </c>
      <c r="AH9" s="2">
        <v>0</v>
      </c>
      <c r="AI9" s="2">
        <v>1</v>
      </c>
      <c r="AJ9" s="2">
        <v>0</v>
      </c>
      <c r="AK9" s="2">
        <v>0</v>
      </c>
      <c r="AL9" s="2">
        <v>1</v>
      </c>
      <c r="AM9" s="2">
        <v>0</v>
      </c>
      <c r="AN9" s="2">
        <v>1</v>
      </c>
      <c r="AO9" s="2">
        <v>0</v>
      </c>
      <c r="AP9" s="2">
        <v>0</v>
      </c>
      <c r="AQ9" s="2">
        <v>0</v>
      </c>
      <c r="AR9" s="2">
        <v>1</v>
      </c>
      <c r="AS9" s="2">
        <v>16.38</v>
      </c>
      <c r="AT9" s="2">
        <v>27.99</v>
      </c>
      <c r="AU9" s="2">
        <v>100</v>
      </c>
      <c r="AV9" s="2">
        <v>0</v>
      </c>
      <c r="AW9" s="2">
        <v>0</v>
      </c>
      <c r="AX9" s="2">
        <v>1</v>
      </c>
      <c r="AY9" s="2">
        <v>57.3</v>
      </c>
      <c r="AZ9" s="2">
        <v>61.3</v>
      </c>
      <c r="BA9" s="2">
        <v>61.4</v>
      </c>
      <c r="BB9" s="2">
        <v>63.5</v>
      </c>
      <c r="BC9" s="2">
        <v>66.7</v>
      </c>
      <c r="BD9" s="2">
        <v>0</v>
      </c>
      <c r="BE9" s="2">
        <v>70.599999999999994</v>
      </c>
      <c r="BF9" s="2">
        <v>54.4</v>
      </c>
      <c r="BG9" s="2">
        <v>0</v>
      </c>
      <c r="BH9" s="2">
        <v>0</v>
      </c>
      <c r="BI9" s="2">
        <v>18.7</v>
      </c>
      <c r="BJ9" s="2">
        <v>0</v>
      </c>
      <c r="BK9" s="2">
        <v>0</v>
      </c>
      <c r="BL9" s="2">
        <v>1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 t="s">
        <v>137</v>
      </c>
      <c r="BV9" s="2">
        <v>29.1</v>
      </c>
      <c r="BW9" s="2">
        <v>30</v>
      </c>
      <c r="BX9" s="2">
        <v>28</v>
      </c>
      <c r="BY9" s="2">
        <v>2</v>
      </c>
      <c r="BZ9" s="2">
        <v>2</v>
      </c>
      <c r="CA9" s="2">
        <v>1</v>
      </c>
      <c r="CB9" s="2">
        <v>0</v>
      </c>
      <c r="CC9" s="2">
        <v>0</v>
      </c>
      <c r="CD9" s="2">
        <v>5</v>
      </c>
      <c r="CE9" s="2">
        <v>4</v>
      </c>
      <c r="CF9" s="2">
        <v>1</v>
      </c>
      <c r="CG9" s="2">
        <v>0</v>
      </c>
      <c r="CH9" s="2" t="s">
        <v>152</v>
      </c>
      <c r="CI9" s="2">
        <v>4</v>
      </c>
      <c r="CJ9" s="2" t="s">
        <v>139</v>
      </c>
      <c r="CK9" s="2">
        <v>0</v>
      </c>
      <c r="CL9" s="2">
        <v>29.1</v>
      </c>
      <c r="CM9" s="2" t="s">
        <v>176</v>
      </c>
      <c r="CN9" s="2">
        <v>3.61E-2</v>
      </c>
      <c r="CO9" s="2">
        <v>4.3099999999999996</v>
      </c>
      <c r="CP9" s="2">
        <v>0</v>
      </c>
      <c r="CQ9" s="2" t="s">
        <v>137</v>
      </c>
      <c r="CR9" s="2">
        <v>0.51624000000000003</v>
      </c>
      <c r="CS9" s="2">
        <v>0.49086000000000002</v>
      </c>
      <c r="CT9" s="2">
        <v>2.538000000000001E-2</v>
      </c>
      <c r="CU9" s="2">
        <v>0.51624000000000003</v>
      </c>
      <c r="CV9" s="2">
        <v>5</v>
      </c>
      <c r="CW9" s="2">
        <v>0.12230000000000001</v>
      </c>
      <c r="CX9" s="2">
        <v>0.39810002</v>
      </c>
      <c r="CY9" s="2">
        <v>12.96</v>
      </c>
      <c r="CZ9" s="2">
        <v>11.11</v>
      </c>
      <c r="DA9" s="2" t="s">
        <v>177</v>
      </c>
      <c r="DB9" s="2">
        <v>0</v>
      </c>
      <c r="DC9" s="2">
        <v>0</v>
      </c>
      <c r="DD9" s="2">
        <v>1</v>
      </c>
      <c r="DE9" s="2">
        <v>0</v>
      </c>
      <c r="DF9" s="2">
        <v>0</v>
      </c>
      <c r="DG9" s="2">
        <v>147190000</v>
      </c>
      <c r="DH9" s="2">
        <v>10.97</v>
      </c>
      <c r="DI9" s="2">
        <v>28.48</v>
      </c>
      <c r="DJ9" s="2">
        <v>147190000</v>
      </c>
      <c r="DK9" s="2" t="s">
        <v>137</v>
      </c>
      <c r="DL9" s="2">
        <v>262246000</v>
      </c>
      <c r="DM9" s="2">
        <v>1785000</v>
      </c>
      <c r="DN9" s="2">
        <v>260461000</v>
      </c>
      <c r="DO9" s="2">
        <v>146.91999999999999</v>
      </c>
      <c r="DP9" s="2">
        <v>1.6</v>
      </c>
      <c r="DQ9" s="2">
        <v>1.1100000000000001</v>
      </c>
      <c r="DR9" s="2" t="s">
        <v>137</v>
      </c>
      <c r="DS9" s="2">
        <v>12.96</v>
      </c>
      <c r="DT9" s="2">
        <v>11.11</v>
      </c>
      <c r="DU9" s="2" t="s">
        <v>137</v>
      </c>
      <c r="DV9" s="2">
        <v>7.49</v>
      </c>
      <c r="DW9" s="2">
        <v>9.11</v>
      </c>
      <c r="DX9" s="2">
        <v>0</v>
      </c>
      <c r="DY9" s="2">
        <v>0</v>
      </c>
      <c r="DZ9" s="2">
        <v>48</v>
      </c>
      <c r="EA9" s="2">
        <v>20</v>
      </c>
      <c r="EB9" s="2">
        <v>2</v>
      </c>
      <c r="EC9" s="2">
        <v>68</v>
      </c>
      <c r="ED9" s="2">
        <v>0</v>
      </c>
    </row>
    <row r="10" spans="1:134" hidden="1" x14ac:dyDescent="0.2">
      <c r="A10" t="s">
        <v>178</v>
      </c>
      <c r="B10" t="s">
        <v>179</v>
      </c>
      <c r="C10" t="s">
        <v>180</v>
      </c>
      <c r="D10" t="s">
        <v>181</v>
      </c>
      <c r="E10">
        <v>466105600</v>
      </c>
      <c r="F10">
        <v>30.92</v>
      </c>
      <c r="G10">
        <v>30.1</v>
      </c>
      <c r="H10">
        <v>29.91</v>
      </c>
      <c r="I10">
        <v>29.92</v>
      </c>
      <c r="J10">
        <v>29.96</v>
      </c>
      <c r="K10">
        <v>30.65</v>
      </c>
      <c r="L10">
        <v>30.9</v>
      </c>
      <c r="M10">
        <v>30.32</v>
      </c>
      <c r="N10">
        <v>30.36</v>
      </c>
      <c r="O10">
        <v>30.26</v>
      </c>
      <c r="P10">
        <v>0.88</v>
      </c>
      <c r="Q10">
        <v>28.96</v>
      </c>
      <c r="R10">
        <v>32.21</v>
      </c>
      <c r="S10">
        <v>30.18</v>
      </c>
      <c r="T10">
        <v>-0.3</v>
      </c>
      <c r="U10">
        <v>27.65</v>
      </c>
      <c r="V10">
        <v>29.4</v>
      </c>
      <c r="W10">
        <v>27.68</v>
      </c>
      <c r="X10">
        <v>25.93</v>
      </c>
      <c r="Y10">
        <v>31.31</v>
      </c>
      <c r="Z10">
        <v>33.409999999999997</v>
      </c>
      <c r="AA10" t="s">
        <v>137</v>
      </c>
      <c r="AB10">
        <v>75300</v>
      </c>
      <c r="AC10">
        <v>89300</v>
      </c>
      <c r="AD10">
        <v>52100</v>
      </c>
      <c r="AE10">
        <v>70100</v>
      </c>
      <c r="AF10">
        <v>82000</v>
      </c>
      <c r="AG10" s="2">
        <f>AVERAGE(AB10:AF10)</f>
        <v>73760</v>
      </c>
      <c r="AH10">
        <v>0</v>
      </c>
      <c r="AI10">
        <v>1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1</v>
      </c>
      <c r="AS10">
        <v>14.1</v>
      </c>
      <c r="AT10">
        <v>32.11</v>
      </c>
      <c r="AU10">
        <v>89.7</v>
      </c>
      <c r="AV10">
        <v>10.3</v>
      </c>
      <c r="AW10">
        <v>1</v>
      </c>
      <c r="AX10">
        <v>0</v>
      </c>
      <c r="AY10">
        <v>53.6</v>
      </c>
      <c r="AZ10">
        <v>52.2</v>
      </c>
      <c r="BA10">
        <v>57.2</v>
      </c>
      <c r="BB10">
        <v>54.4</v>
      </c>
      <c r="BC10">
        <v>53.9</v>
      </c>
      <c r="BD10">
        <v>0</v>
      </c>
      <c r="BE10">
        <v>26.8</v>
      </c>
      <c r="BF10">
        <v>20.8</v>
      </c>
      <c r="BG10">
        <v>0</v>
      </c>
      <c r="BH10">
        <v>0</v>
      </c>
      <c r="BI10">
        <v>20.5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 t="s">
        <v>137</v>
      </c>
      <c r="BV10">
        <v>69</v>
      </c>
      <c r="BW10">
        <v>69</v>
      </c>
      <c r="BX10">
        <v>69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 t="s">
        <v>152</v>
      </c>
      <c r="CI10">
        <v>128</v>
      </c>
      <c r="CJ10" t="s">
        <v>139</v>
      </c>
      <c r="CK10">
        <v>1</v>
      </c>
      <c r="CL10">
        <v>69</v>
      </c>
      <c r="CM10" t="s">
        <v>182</v>
      </c>
      <c r="CN10">
        <v>2.9100000000000001E-2</v>
      </c>
      <c r="CO10">
        <v>2.59</v>
      </c>
      <c r="CP10">
        <v>1</v>
      </c>
      <c r="CQ10" t="s">
        <v>137</v>
      </c>
      <c r="CR10">
        <v>0.19</v>
      </c>
      <c r="CS10">
        <v>0.21</v>
      </c>
      <c r="CT10">
        <v>-1.999999999999999E-2</v>
      </c>
      <c r="CU10">
        <v>0.19</v>
      </c>
      <c r="CV10">
        <v>1</v>
      </c>
      <c r="CW10">
        <v>-0.65190004999999995</v>
      </c>
      <c r="CX10">
        <v>6.8251999999999997</v>
      </c>
      <c r="CY10">
        <v>2.94</v>
      </c>
      <c r="CZ10">
        <v>28.02</v>
      </c>
      <c r="DA10" t="s">
        <v>183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43913000</v>
      </c>
      <c r="DH10">
        <v>9.42</v>
      </c>
      <c r="DI10">
        <v>5.98</v>
      </c>
      <c r="DJ10">
        <v>133935000</v>
      </c>
      <c r="DK10">
        <v>-90022000</v>
      </c>
      <c r="DL10">
        <v>317976000</v>
      </c>
      <c r="DM10">
        <v>674068992</v>
      </c>
      <c r="DN10">
        <v>-356092992</v>
      </c>
      <c r="DO10">
        <v>0.47</v>
      </c>
      <c r="DP10">
        <v>1.63</v>
      </c>
      <c r="DQ10">
        <v>1.36</v>
      </c>
      <c r="DR10">
        <v>2.78</v>
      </c>
      <c r="DS10">
        <v>2.94</v>
      </c>
      <c r="DT10">
        <v>28.02</v>
      </c>
      <c r="DU10">
        <v>2.78</v>
      </c>
      <c r="DV10">
        <v>5.37</v>
      </c>
      <c r="DW10">
        <v>10.61</v>
      </c>
      <c r="DX10">
        <v>1.27</v>
      </c>
      <c r="DY10">
        <v>0</v>
      </c>
      <c r="DZ10">
        <v>7</v>
      </c>
      <c r="EA10">
        <v>15</v>
      </c>
      <c r="EB10">
        <v>1</v>
      </c>
      <c r="EC10">
        <v>22</v>
      </c>
      <c r="ED10">
        <v>0</v>
      </c>
    </row>
    <row r="11" spans="1:134" hidden="1" x14ac:dyDescent="0.2">
      <c r="A11" s="2" t="s">
        <v>184</v>
      </c>
      <c r="B11" s="2" t="s">
        <v>185</v>
      </c>
      <c r="C11" s="2" t="s">
        <v>186</v>
      </c>
      <c r="D11" s="2" t="s">
        <v>187</v>
      </c>
      <c r="E11" s="2">
        <v>518548288</v>
      </c>
      <c r="F11" s="2">
        <v>10.5</v>
      </c>
      <c r="G11" s="2">
        <v>10.38</v>
      </c>
      <c r="H11" s="2">
        <v>10.38</v>
      </c>
      <c r="I11" s="2">
        <v>10.18</v>
      </c>
      <c r="J11" s="2">
        <v>10.199999999999999</v>
      </c>
      <c r="K11" s="2">
        <v>10.18</v>
      </c>
      <c r="L11" s="2">
        <v>10.27</v>
      </c>
      <c r="M11" s="2">
        <v>10.43</v>
      </c>
      <c r="N11" s="2">
        <v>10.220000000000001</v>
      </c>
      <c r="O11" s="2">
        <v>10.29</v>
      </c>
      <c r="P11" s="2">
        <v>0.49</v>
      </c>
      <c r="Q11" s="2">
        <v>9.17</v>
      </c>
      <c r="R11" s="2">
        <v>11.97</v>
      </c>
      <c r="S11" s="2">
        <v>10.27</v>
      </c>
      <c r="T11" s="2">
        <v>-0.2</v>
      </c>
      <c r="U11" s="2">
        <v>9.9700000000000006</v>
      </c>
      <c r="V11" s="2">
        <v>9.41</v>
      </c>
      <c r="W11" s="2">
        <v>9.26</v>
      </c>
      <c r="X11" s="2">
        <v>8.89</v>
      </c>
      <c r="Y11" s="2">
        <v>10.77</v>
      </c>
      <c r="Z11" s="2">
        <v>10.97</v>
      </c>
      <c r="AA11" s="2">
        <v>11.24</v>
      </c>
      <c r="AB11" s="2">
        <v>451300</v>
      </c>
      <c r="AC11" s="2">
        <v>253900</v>
      </c>
      <c r="AD11" s="2">
        <v>206200</v>
      </c>
      <c r="AE11" s="2">
        <v>142700</v>
      </c>
      <c r="AF11" s="2">
        <v>245000</v>
      </c>
      <c r="AG11" s="2">
        <f>AVERAGE(AB11:AF11)</f>
        <v>259820</v>
      </c>
      <c r="AH11" s="2">
        <v>0</v>
      </c>
      <c r="AI11" s="2">
        <v>0</v>
      </c>
      <c r="AJ11" s="2">
        <v>0</v>
      </c>
      <c r="AK11" s="2">
        <v>1</v>
      </c>
      <c r="AL11" s="2">
        <v>1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1</v>
      </c>
      <c r="AS11" s="2">
        <v>5.73</v>
      </c>
      <c r="AT11" s="2">
        <v>12.05</v>
      </c>
      <c r="AU11" s="2">
        <v>72.2</v>
      </c>
      <c r="AV11" s="2">
        <v>27.8</v>
      </c>
      <c r="AW11" s="2">
        <v>0</v>
      </c>
      <c r="AX11" s="2">
        <v>0</v>
      </c>
      <c r="AY11" s="2">
        <v>62.6</v>
      </c>
      <c r="AZ11" s="2">
        <v>58.8</v>
      </c>
      <c r="BA11" s="2">
        <v>58.8</v>
      </c>
      <c r="BB11" s="2">
        <v>62.1</v>
      </c>
      <c r="BC11" s="2">
        <v>59.2</v>
      </c>
      <c r="BD11" s="2">
        <v>0</v>
      </c>
      <c r="BE11" s="2">
        <v>84.1</v>
      </c>
      <c r="BF11" s="2">
        <v>84.3</v>
      </c>
      <c r="BG11" s="2">
        <v>0</v>
      </c>
      <c r="BH11" s="2">
        <v>0</v>
      </c>
      <c r="BI11" s="2">
        <v>36.299999999999997</v>
      </c>
      <c r="BJ11" s="2">
        <v>1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3</v>
      </c>
      <c r="BV11" s="2">
        <v>12</v>
      </c>
      <c r="BW11" s="2">
        <v>12</v>
      </c>
      <c r="BX11" s="2">
        <v>12</v>
      </c>
      <c r="BY11" s="2">
        <v>0</v>
      </c>
      <c r="BZ11" s="2">
        <v>0</v>
      </c>
      <c r="CA11" s="2">
        <v>2</v>
      </c>
      <c r="CB11" s="2">
        <v>0</v>
      </c>
      <c r="CC11" s="2">
        <v>0</v>
      </c>
      <c r="CD11" s="2">
        <v>2</v>
      </c>
      <c r="CE11" s="2">
        <v>0</v>
      </c>
      <c r="CF11" s="2">
        <v>2</v>
      </c>
      <c r="CG11" s="2">
        <v>0</v>
      </c>
      <c r="CH11" s="2" t="s">
        <v>146</v>
      </c>
      <c r="CI11" s="2">
        <v>16.600000000000001</v>
      </c>
      <c r="CJ11" s="2" t="s">
        <v>188</v>
      </c>
      <c r="CK11" s="2">
        <v>0</v>
      </c>
      <c r="CL11" s="2">
        <v>13.5</v>
      </c>
      <c r="CM11" s="2" t="s">
        <v>189</v>
      </c>
      <c r="CN11" s="2">
        <v>4.7800000000000002E-2</v>
      </c>
      <c r="CO11" s="2">
        <v>7.09</v>
      </c>
      <c r="CP11" s="2">
        <v>0</v>
      </c>
      <c r="CQ11" s="2" t="s">
        <v>137</v>
      </c>
      <c r="CR11" s="2">
        <v>0.125</v>
      </c>
      <c r="CS11" s="2">
        <v>0.105</v>
      </c>
      <c r="CT11" s="2">
        <v>0.02</v>
      </c>
      <c r="CU11" s="2">
        <v>0.125</v>
      </c>
      <c r="CV11" s="2">
        <v>2</v>
      </c>
      <c r="CW11" s="2">
        <v>0.22320000000000001</v>
      </c>
      <c r="CX11" s="2">
        <v>0.6149</v>
      </c>
      <c r="CY11" s="2">
        <v>64.31</v>
      </c>
      <c r="CZ11" s="2">
        <v>29.83</v>
      </c>
      <c r="DA11" s="2" t="s">
        <v>190</v>
      </c>
      <c r="DB11" s="2">
        <v>0</v>
      </c>
      <c r="DC11" s="2">
        <v>0</v>
      </c>
      <c r="DD11" s="2">
        <v>0.5</v>
      </c>
      <c r="DE11" s="2">
        <v>0</v>
      </c>
      <c r="DF11" s="2">
        <v>0</v>
      </c>
      <c r="DG11" s="2">
        <v>17528000</v>
      </c>
      <c r="DH11" s="2">
        <v>3.38</v>
      </c>
      <c r="DI11" s="2">
        <v>4.1399999999999997</v>
      </c>
      <c r="DJ11" s="2">
        <v>64315000</v>
      </c>
      <c r="DK11" s="2">
        <v>-46787000</v>
      </c>
      <c r="DL11" s="2">
        <v>42976000</v>
      </c>
      <c r="DM11" s="2">
        <v>442107008</v>
      </c>
      <c r="DN11" s="2">
        <v>-399131008</v>
      </c>
      <c r="DO11" s="2">
        <v>0.1</v>
      </c>
      <c r="DP11" s="2">
        <v>1.71</v>
      </c>
      <c r="DQ11" s="2">
        <v>1.43</v>
      </c>
      <c r="DR11" s="2" t="s">
        <v>137</v>
      </c>
      <c r="DS11" s="2">
        <v>64.31</v>
      </c>
      <c r="DT11" s="2">
        <v>29.83</v>
      </c>
      <c r="DU11" s="2" t="s">
        <v>137</v>
      </c>
      <c r="DV11" s="2">
        <v>9.31</v>
      </c>
      <c r="DW11" s="2">
        <v>29.58</v>
      </c>
      <c r="DX11" s="2">
        <v>1.34</v>
      </c>
      <c r="DY11" s="2">
        <v>0</v>
      </c>
      <c r="DZ11" s="2">
        <v>34</v>
      </c>
      <c r="EA11" s="2">
        <v>10</v>
      </c>
      <c r="EB11" s="2">
        <v>1</v>
      </c>
      <c r="EC11" s="2">
        <v>44</v>
      </c>
      <c r="ED11" s="2">
        <v>0</v>
      </c>
    </row>
    <row r="12" spans="1:134" hidden="1" x14ac:dyDescent="0.2">
      <c r="A12" s="2" t="s">
        <v>191</v>
      </c>
      <c r="B12" s="2" t="s">
        <v>192</v>
      </c>
      <c r="C12" s="2" t="s">
        <v>135</v>
      </c>
      <c r="D12" s="2" t="s">
        <v>163</v>
      </c>
      <c r="E12" s="2">
        <v>409697888</v>
      </c>
      <c r="F12" s="2">
        <v>21.94</v>
      </c>
      <c r="G12" s="2">
        <v>21.93</v>
      </c>
      <c r="H12" s="2">
        <v>21.78</v>
      </c>
      <c r="I12" s="2">
        <v>21.72</v>
      </c>
      <c r="J12" s="2">
        <v>21.68</v>
      </c>
      <c r="K12" s="2">
        <v>21.75</v>
      </c>
      <c r="L12" s="2">
        <v>22.01</v>
      </c>
      <c r="M12" s="2">
        <v>21.77</v>
      </c>
      <c r="N12" s="2">
        <v>21.89</v>
      </c>
      <c r="O12" s="2">
        <v>22.18</v>
      </c>
      <c r="P12" s="2">
        <v>0.45</v>
      </c>
      <c r="Q12" s="2">
        <v>21.4</v>
      </c>
      <c r="R12" s="2">
        <v>23.35</v>
      </c>
      <c r="S12" s="2">
        <v>22.22</v>
      </c>
      <c r="T12" s="2">
        <v>0.2</v>
      </c>
      <c r="U12" s="2">
        <v>21.5</v>
      </c>
      <c r="V12" s="2">
        <v>21.63</v>
      </c>
      <c r="W12" s="2">
        <v>20.76</v>
      </c>
      <c r="X12" s="2">
        <v>19.98</v>
      </c>
      <c r="Y12" s="2">
        <v>22.21</v>
      </c>
      <c r="Z12" s="2">
        <v>22.52</v>
      </c>
      <c r="AA12" s="2">
        <v>22.9</v>
      </c>
      <c r="AB12" s="2">
        <v>151400</v>
      </c>
      <c r="AC12" s="2">
        <v>160200</v>
      </c>
      <c r="AD12" s="2">
        <v>193200</v>
      </c>
      <c r="AE12" s="2">
        <v>164100</v>
      </c>
      <c r="AF12" s="2">
        <v>280400</v>
      </c>
      <c r="AG12" s="2">
        <f>AVERAGE(AB12:AF12)</f>
        <v>189860</v>
      </c>
      <c r="AH12" s="2">
        <v>0</v>
      </c>
      <c r="AI12" s="2">
        <v>0</v>
      </c>
      <c r="AJ12" s="2">
        <v>1</v>
      </c>
      <c r="AK12" s="2">
        <v>0</v>
      </c>
      <c r="AL12" s="2">
        <v>1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1</v>
      </c>
      <c r="AS12" s="2">
        <v>14.37</v>
      </c>
      <c r="AT12" s="2">
        <v>22.41</v>
      </c>
      <c r="AU12" s="2">
        <v>97.1</v>
      </c>
      <c r="AV12" s="2">
        <v>2.9</v>
      </c>
      <c r="AW12" s="2">
        <v>0</v>
      </c>
      <c r="AX12" s="2">
        <v>1</v>
      </c>
      <c r="AY12" s="2">
        <v>52</v>
      </c>
      <c r="AZ12" s="2">
        <v>48.3</v>
      </c>
      <c r="BA12" s="2">
        <v>48.9</v>
      </c>
      <c r="BB12" s="2">
        <v>49.3</v>
      </c>
      <c r="BC12" s="2">
        <v>56.5</v>
      </c>
      <c r="BD12" s="2">
        <v>1</v>
      </c>
      <c r="BE12" s="2">
        <v>33.9</v>
      </c>
      <c r="BF12" s="2">
        <v>17.100000000000001</v>
      </c>
      <c r="BG12" s="2">
        <v>0</v>
      </c>
      <c r="BH12" s="2">
        <v>0</v>
      </c>
      <c r="BI12" s="2">
        <v>8.1999999999999993</v>
      </c>
      <c r="BJ12" s="2">
        <v>0</v>
      </c>
      <c r="BK12" s="2">
        <v>0</v>
      </c>
      <c r="BL12" s="2">
        <v>0</v>
      </c>
      <c r="BM12" s="2">
        <v>1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 t="s">
        <v>137</v>
      </c>
      <c r="BV12" s="2">
        <v>25</v>
      </c>
      <c r="BW12" s="2">
        <v>25</v>
      </c>
      <c r="BX12" s="2">
        <v>25</v>
      </c>
      <c r="BY12" s="2">
        <v>0</v>
      </c>
      <c r="BZ12" s="2">
        <v>1</v>
      </c>
      <c r="CA12" s="2">
        <v>0</v>
      </c>
      <c r="CB12" s="2">
        <v>0</v>
      </c>
      <c r="CC12" s="2">
        <v>0</v>
      </c>
      <c r="CD12" s="2">
        <v>1</v>
      </c>
      <c r="CE12" s="2">
        <v>1</v>
      </c>
      <c r="CF12" s="2">
        <v>0</v>
      </c>
      <c r="CG12" s="2">
        <v>0</v>
      </c>
      <c r="CH12" s="2" t="s">
        <v>152</v>
      </c>
      <c r="CI12" s="2">
        <v>12.7</v>
      </c>
      <c r="CJ12" s="2" t="s">
        <v>139</v>
      </c>
      <c r="CK12" s="2">
        <v>1</v>
      </c>
      <c r="CL12" s="2">
        <v>25</v>
      </c>
      <c r="CM12" s="2" t="s">
        <v>193</v>
      </c>
      <c r="CN12" s="2">
        <v>2.7900000000000001E-2</v>
      </c>
      <c r="CO12" s="2">
        <v>2.9</v>
      </c>
      <c r="CP12" s="2">
        <v>1</v>
      </c>
      <c r="CQ12" s="2" t="s">
        <v>137</v>
      </c>
      <c r="CR12" s="2">
        <v>0.38</v>
      </c>
      <c r="CS12" s="2">
        <v>0.32</v>
      </c>
      <c r="CT12" s="2">
        <v>0.06</v>
      </c>
      <c r="CU12" s="2">
        <v>0.38</v>
      </c>
      <c r="CV12" s="2">
        <v>1</v>
      </c>
      <c r="CW12" s="2" t="s">
        <v>137</v>
      </c>
      <c r="CX12" s="2">
        <v>7.9440999999999997</v>
      </c>
      <c r="CY12" s="2">
        <v>23.35</v>
      </c>
      <c r="CZ12" s="2">
        <v>14.99</v>
      </c>
      <c r="DA12" s="2" t="s">
        <v>154</v>
      </c>
      <c r="DB12" s="2">
        <v>1</v>
      </c>
      <c r="DC12" s="2">
        <v>0</v>
      </c>
      <c r="DD12" s="2">
        <v>2</v>
      </c>
      <c r="DE12" s="2">
        <v>0</v>
      </c>
      <c r="DF12" s="2">
        <v>0</v>
      </c>
      <c r="DG12" s="2">
        <v>24085000</v>
      </c>
      <c r="DH12" s="2">
        <v>5.88</v>
      </c>
      <c r="DI12" s="2">
        <v>22.27</v>
      </c>
      <c r="DJ12" s="2">
        <v>28371000</v>
      </c>
      <c r="DK12" s="2">
        <v>-4286000</v>
      </c>
      <c r="DL12" s="2">
        <v>76686000</v>
      </c>
      <c r="DM12" s="2">
        <v>199178000</v>
      </c>
      <c r="DN12" s="2">
        <v>-122492000</v>
      </c>
      <c r="DO12" s="2">
        <v>0.39</v>
      </c>
      <c r="DP12" s="2" t="s">
        <v>137</v>
      </c>
      <c r="DQ12" s="2" t="s">
        <v>137</v>
      </c>
      <c r="DR12" s="2" t="s">
        <v>137</v>
      </c>
      <c r="DS12" s="2">
        <v>23.35</v>
      </c>
      <c r="DT12" s="2">
        <v>14.99</v>
      </c>
      <c r="DU12" s="2" t="s">
        <v>137</v>
      </c>
      <c r="DV12" s="2" t="s">
        <v>137</v>
      </c>
      <c r="DW12" s="2">
        <v>17.010000000000002</v>
      </c>
      <c r="DX12" s="2">
        <v>0</v>
      </c>
      <c r="DY12" s="2">
        <v>0</v>
      </c>
      <c r="DZ12" s="2">
        <v>30</v>
      </c>
      <c r="EA12" s="2">
        <v>5</v>
      </c>
      <c r="EB12" s="2">
        <v>0</v>
      </c>
      <c r="EC12" s="2">
        <v>35</v>
      </c>
      <c r="ED12" s="2">
        <v>0</v>
      </c>
    </row>
    <row r="13" spans="1:134" hidden="1" x14ac:dyDescent="0.2">
      <c r="A13" s="2" t="s">
        <v>194</v>
      </c>
      <c r="B13" s="2" t="s">
        <v>195</v>
      </c>
      <c r="C13" s="2" t="s">
        <v>135</v>
      </c>
      <c r="D13" s="2" t="s">
        <v>163</v>
      </c>
      <c r="E13" s="2">
        <v>708276416</v>
      </c>
      <c r="F13" s="2">
        <v>21.89</v>
      </c>
      <c r="G13" s="2">
        <v>21.73</v>
      </c>
      <c r="H13" s="2">
        <v>21.57</v>
      </c>
      <c r="I13" s="2">
        <v>21.49</v>
      </c>
      <c r="J13" s="2">
        <v>21.53</v>
      </c>
      <c r="K13" s="2">
        <v>21.82</v>
      </c>
      <c r="L13" s="2">
        <v>21.98</v>
      </c>
      <c r="M13" s="2">
        <v>21.81</v>
      </c>
      <c r="N13" s="2">
        <v>21.81</v>
      </c>
      <c r="O13" s="2">
        <v>22.03</v>
      </c>
      <c r="P13" s="2">
        <v>0.42</v>
      </c>
      <c r="Q13" s="2">
        <v>21.14</v>
      </c>
      <c r="R13" s="2">
        <v>23.37</v>
      </c>
      <c r="S13" s="2">
        <v>22.02</v>
      </c>
      <c r="T13" s="2">
        <v>0</v>
      </c>
      <c r="U13" s="2">
        <v>21.31</v>
      </c>
      <c r="V13" s="2">
        <v>21.35</v>
      </c>
      <c r="W13" s="2">
        <v>20.96</v>
      </c>
      <c r="X13" s="2">
        <v>20.440000000000001</v>
      </c>
      <c r="Y13" s="2" t="s">
        <v>137</v>
      </c>
      <c r="Z13" s="2" t="s">
        <v>137</v>
      </c>
      <c r="AA13" s="2" t="s">
        <v>137</v>
      </c>
      <c r="AB13" s="2">
        <v>193100</v>
      </c>
      <c r="AC13" s="2">
        <v>144600</v>
      </c>
      <c r="AD13" s="2">
        <v>344600</v>
      </c>
      <c r="AE13" s="2">
        <v>174800</v>
      </c>
      <c r="AF13" s="2">
        <v>255400</v>
      </c>
      <c r="AG13" s="2">
        <f>AVERAGE(AB13:AF13)</f>
        <v>222500</v>
      </c>
      <c r="AH13" s="2">
        <v>0</v>
      </c>
      <c r="AI13" s="2">
        <v>0</v>
      </c>
      <c r="AJ13" s="2">
        <v>1</v>
      </c>
      <c r="AK13" s="2">
        <v>0</v>
      </c>
      <c r="AL13" s="2">
        <v>1</v>
      </c>
      <c r="AM13" s="2">
        <v>0</v>
      </c>
      <c r="AN13" s="2">
        <v>0</v>
      </c>
      <c r="AO13" s="2">
        <v>1</v>
      </c>
      <c r="AP13" s="2">
        <v>0</v>
      </c>
      <c r="AQ13" s="2">
        <v>1</v>
      </c>
      <c r="AR13" s="2">
        <v>1</v>
      </c>
      <c r="AS13" s="2">
        <v>15.99</v>
      </c>
      <c r="AT13" s="2">
        <v>22.03</v>
      </c>
      <c r="AU13" s="2">
        <v>100</v>
      </c>
      <c r="AV13" s="2">
        <v>0</v>
      </c>
      <c r="AW13" s="2">
        <v>0</v>
      </c>
      <c r="AX13" s="2">
        <v>0</v>
      </c>
      <c r="AY13" s="2">
        <v>57.8</v>
      </c>
      <c r="AZ13" s="2">
        <v>52.2</v>
      </c>
      <c r="BA13" s="2">
        <v>58.2</v>
      </c>
      <c r="BB13" s="2">
        <v>57.9</v>
      </c>
      <c r="BC13" s="2">
        <v>61.6</v>
      </c>
      <c r="BD13" s="2">
        <v>0</v>
      </c>
      <c r="BE13" s="2">
        <v>82.6</v>
      </c>
      <c r="BF13" s="2">
        <v>69.900000000000006</v>
      </c>
      <c r="BG13" s="2">
        <v>0</v>
      </c>
      <c r="BH13" s="2">
        <v>0</v>
      </c>
      <c r="BI13" s="2">
        <v>13.4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 t="s">
        <v>137</v>
      </c>
      <c r="BV13" s="2">
        <v>24.5</v>
      </c>
      <c r="BW13" s="2">
        <v>25</v>
      </c>
      <c r="BX13" s="2">
        <v>24</v>
      </c>
      <c r="BY13" s="2">
        <v>2</v>
      </c>
      <c r="BZ13" s="2">
        <v>2</v>
      </c>
      <c r="CA13" s="2">
        <v>0</v>
      </c>
      <c r="CB13" s="2">
        <v>0</v>
      </c>
      <c r="CC13" s="2">
        <v>0</v>
      </c>
      <c r="CD13" s="2">
        <v>4</v>
      </c>
      <c r="CE13" s="2">
        <v>4</v>
      </c>
      <c r="CF13" s="2">
        <v>0</v>
      </c>
      <c r="CG13" s="2">
        <v>0</v>
      </c>
      <c r="CH13" s="2" t="s">
        <v>152</v>
      </c>
      <c r="CI13" s="2">
        <v>11.2</v>
      </c>
      <c r="CJ13" s="2" t="s">
        <v>139</v>
      </c>
      <c r="CK13" s="2">
        <v>1</v>
      </c>
      <c r="CL13" s="2">
        <v>24.5</v>
      </c>
      <c r="CM13" s="2" t="s">
        <v>196</v>
      </c>
      <c r="CN13" s="2">
        <v>3.4200000000000001E-2</v>
      </c>
      <c r="CO13" s="2">
        <v>6.55</v>
      </c>
      <c r="CP13" s="2">
        <v>1</v>
      </c>
      <c r="CQ13" s="2" t="s">
        <v>137</v>
      </c>
      <c r="CR13" s="2">
        <v>0.4325</v>
      </c>
      <c r="CS13" s="2">
        <v>0.41332999999999998</v>
      </c>
      <c r="CT13" s="2">
        <v>1.917000000000002E-2</v>
      </c>
      <c r="CU13" s="2">
        <v>0.4325</v>
      </c>
      <c r="CV13" s="2">
        <v>4</v>
      </c>
      <c r="CW13" s="2">
        <v>-9.9000000000000005E-2</v>
      </c>
      <c r="CX13" s="2">
        <v>-9.9700003999999995E-2</v>
      </c>
      <c r="CY13" s="2">
        <v>11.97</v>
      </c>
      <c r="CZ13" s="2">
        <v>11.91</v>
      </c>
      <c r="DA13" s="2" t="s">
        <v>160</v>
      </c>
      <c r="DB13" s="2">
        <v>0</v>
      </c>
      <c r="DC13" s="2">
        <v>1</v>
      </c>
      <c r="DD13" s="2">
        <v>0.5</v>
      </c>
      <c r="DE13" s="2">
        <v>0</v>
      </c>
      <c r="DF13" s="2">
        <v>0</v>
      </c>
      <c r="DG13" s="2">
        <v>56944000</v>
      </c>
      <c r="DH13" s="2">
        <v>8.0399999999999991</v>
      </c>
      <c r="DI13" s="2">
        <v>30.9</v>
      </c>
      <c r="DJ13" s="2">
        <v>57290000</v>
      </c>
      <c r="DK13" s="2">
        <v>-346000</v>
      </c>
      <c r="DL13" s="2">
        <v>264951008</v>
      </c>
      <c r="DM13" s="2">
        <v>52986000</v>
      </c>
      <c r="DN13" s="2">
        <v>211965008</v>
      </c>
      <c r="DO13" s="2">
        <v>5</v>
      </c>
      <c r="DP13" s="2" t="s">
        <v>137</v>
      </c>
      <c r="DQ13" s="2" t="s">
        <v>137</v>
      </c>
      <c r="DR13" s="2" t="s">
        <v>137</v>
      </c>
      <c r="DS13" s="2">
        <v>11.97</v>
      </c>
      <c r="DT13" s="2">
        <v>11.91</v>
      </c>
      <c r="DU13" s="2" t="s">
        <v>137</v>
      </c>
      <c r="DV13" s="2" t="s">
        <v>137</v>
      </c>
      <c r="DW13" s="2">
        <v>12.44</v>
      </c>
      <c r="DX13" s="2">
        <v>0</v>
      </c>
      <c r="DY13" s="2">
        <v>0</v>
      </c>
      <c r="DZ13" s="2">
        <v>32</v>
      </c>
      <c r="EA13" s="2">
        <v>10</v>
      </c>
      <c r="EB13" s="2">
        <v>1</v>
      </c>
      <c r="EC13" s="2">
        <v>42</v>
      </c>
      <c r="ED13" s="2">
        <v>0</v>
      </c>
    </row>
    <row r="14" spans="1:134" hidden="1" x14ac:dyDescent="0.2">
      <c r="A14" t="s">
        <v>593</v>
      </c>
      <c r="B14" t="s">
        <v>594</v>
      </c>
      <c r="C14" t="s">
        <v>309</v>
      </c>
      <c r="D14" t="s">
        <v>595</v>
      </c>
      <c r="E14">
        <v>1175152768</v>
      </c>
      <c r="F14">
        <v>40.43</v>
      </c>
      <c r="G14">
        <v>39.26</v>
      </c>
      <c r="H14">
        <v>38.99</v>
      </c>
      <c r="I14">
        <v>38.42</v>
      </c>
      <c r="J14">
        <v>37.869999999999997</v>
      </c>
      <c r="K14">
        <v>38.33</v>
      </c>
      <c r="L14">
        <v>38.770000000000003</v>
      </c>
      <c r="M14">
        <v>38.85</v>
      </c>
      <c r="N14">
        <v>38.6</v>
      </c>
      <c r="O14">
        <v>38.229999999999997</v>
      </c>
      <c r="P14">
        <v>1.04</v>
      </c>
      <c r="Q14">
        <v>37.35</v>
      </c>
      <c r="R14">
        <v>39.549999999999997</v>
      </c>
      <c r="S14">
        <v>38.159999999999997</v>
      </c>
      <c r="T14">
        <v>-0.2</v>
      </c>
      <c r="U14">
        <v>39.64</v>
      </c>
      <c r="V14">
        <v>37.869999999999997</v>
      </c>
      <c r="W14">
        <v>35.82</v>
      </c>
      <c r="X14">
        <v>34.729999999999997</v>
      </c>
      <c r="Y14">
        <v>38.81</v>
      </c>
      <c r="Z14">
        <v>40.770000000000003</v>
      </c>
      <c r="AA14">
        <v>43.67</v>
      </c>
      <c r="AB14">
        <v>186400</v>
      </c>
      <c r="AC14">
        <v>344400</v>
      </c>
      <c r="AD14">
        <v>166400</v>
      </c>
      <c r="AE14">
        <v>176200</v>
      </c>
      <c r="AF14">
        <v>217700</v>
      </c>
      <c r="AG14" s="2">
        <f>AVERAGE(AB14:AF14)</f>
        <v>218220</v>
      </c>
      <c r="AH14">
        <v>0</v>
      </c>
      <c r="AI14">
        <v>0</v>
      </c>
      <c r="AJ14">
        <v>1</v>
      </c>
      <c r="AK14">
        <v>1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27.21</v>
      </c>
      <c r="AT14">
        <v>45.61</v>
      </c>
      <c r="AU14">
        <v>59.9</v>
      </c>
      <c r="AV14">
        <v>40.1</v>
      </c>
      <c r="AW14">
        <v>1</v>
      </c>
      <c r="AX14">
        <v>0</v>
      </c>
      <c r="AY14">
        <v>45.8</v>
      </c>
      <c r="AZ14">
        <v>42.3</v>
      </c>
      <c r="BA14">
        <v>42</v>
      </c>
      <c r="BB14">
        <v>44.9</v>
      </c>
      <c r="BC14">
        <v>42.2</v>
      </c>
      <c r="BD14">
        <v>0</v>
      </c>
      <c r="BE14">
        <v>10.8</v>
      </c>
      <c r="BF14">
        <v>11.7</v>
      </c>
      <c r="BG14">
        <v>0</v>
      </c>
      <c r="BH14">
        <v>0</v>
      </c>
      <c r="BI14">
        <v>17.2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2</v>
      </c>
      <c r="BV14">
        <v>48</v>
      </c>
      <c r="BW14">
        <v>59</v>
      </c>
      <c r="BX14">
        <v>34</v>
      </c>
      <c r="BY14">
        <v>1</v>
      </c>
      <c r="BZ14">
        <v>4</v>
      </c>
      <c r="CA14">
        <v>4</v>
      </c>
      <c r="CB14">
        <v>0</v>
      </c>
      <c r="CC14">
        <v>0</v>
      </c>
      <c r="CD14">
        <v>9</v>
      </c>
      <c r="CE14">
        <v>5</v>
      </c>
      <c r="CF14">
        <v>4</v>
      </c>
      <c r="CG14">
        <v>0</v>
      </c>
      <c r="CH14" t="s">
        <v>138</v>
      </c>
      <c r="CI14">
        <v>25.6</v>
      </c>
      <c r="CJ14" t="s">
        <v>139</v>
      </c>
      <c r="CK14">
        <v>0</v>
      </c>
      <c r="CL14">
        <v>50</v>
      </c>
      <c r="CM14" t="s">
        <v>596</v>
      </c>
      <c r="CN14">
        <v>8.3599999999999994E-2</v>
      </c>
      <c r="CO14">
        <v>6.28</v>
      </c>
      <c r="CP14">
        <v>0</v>
      </c>
      <c r="CQ14" t="s">
        <v>137</v>
      </c>
      <c r="CR14">
        <v>0.65508999999999995</v>
      </c>
      <c r="CS14">
        <v>0.66010000000000002</v>
      </c>
      <c r="CT14">
        <v>-5.01000000000007E-3</v>
      </c>
      <c r="CU14">
        <v>0.65508999999999995</v>
      </c>
      <c r="CV14">
        <v>6</v>
      </c>
      <c r="CW14">
        <v>-0.1026</v>
      </c>
      <c r="CX14">
        <v>0.2787</v>
      </c>
      <c r="CY14">
        <v>44.45</v>
      </c>
      <c r="CZ14">
        <v>11.73</v>
      </c>
      <c r="DA14" t="s">
        <v>214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59878000</v>
      </c>
      <c r="DH14">
        <v>5.0999999999999996</v>
      </c>
      <c r="DI14">
        <v>3.79</v>
      </c>
      <c r="DJ14">
        <v>116791000</v>
      </c>
      <c r="DK14">
        <v>-56913000</v>
      </c>
      <c r="DL14">
        <v>213490000</v>
      </c>
      <c r="DM14">
        <v>325080000</v>
      </c>
      <c r="DN14">
        <v>-111590000</v>
      </c>
      <c r="DO14">
        <v>0.66</v>
      </c>
      <c r="DP14">
        <v>2.06</v>
      </c>
      <c r="DQ14">
        <v>1.4</v>
      </c>
      <c r="DR14">
        <v>1.02</v>
      </c>
      <c r="DS14">
        <v>44.45</v>
      </c>
      <c r="DT14">
        <v>11.73</v>
      </c>
      <c r="DU14">
        <v>1.02</v>
      </c>
      <c r="DV14">
        <v>8.8800000000000008</v>
      </c>
      <c r="DW14">
        <v>19.63</v>
      </c>
      <c r="DX14">
        <v>2.62</v>
      </c>
      <c r="DY14">
        <v>0</v>
      </c>
      <c r="DZ14">
        <v>48</v>
      </c>
      <c r="EA14">
        <v>30</v>
      </c>
      <c r="EB14">
        <v>3</v>
      </c>
      <c r="EC14">
        <v>78</v>
      </c>
      <c r="ED14">
        <v>1</v>
      </c>
    </row>
    <row r="15" spans="1:134" hidden="1" x14ac:dyDescent="0.2">
      <c r="A15" s="2" t="s">
        <v>202</v>
      </c>
      <c r="B15" s="2" t="s">
        <v>203</v>
      </c>
      <c r="C15" s="2" t="s">
        <v>135</v>
      </c>
      <c r="D15" s="2" t="s">
        <v>163</v>
      </c>
      <c r="E15" s="2">
        <v>596435008</v>
      </c>
      <c r="F15" s="2">
        <v>21.73</v>
      </c>
      <c r="G15" s="2">
        <v>21.41</v>
      </c>
      <c r="H15" s="2">
        <v>21.22</v>
      </c>
      <c r="I15" s="2">
        <v>21.27</v>
      </c>
      <c r="J15" s="2">
        <v>21.17</v>
      </c>
      <c r="K15" s="2">
        <v>21.39</v>
      </c>
      <c r="L15" s="2">
        <v>21.57</v>
      </c>
      <c r="M15" s="2">
        <v>21.39</v>
      </c>
      <c r="N15" s="2">
        <v>21.38</v>
      </c>
      <c r="O15" s="2">
        <v>21.39</v>
      </c>
      <c r="P15" s="2">
        <v>0.51</v>
      </c>
      <c r="Q15" s="2">
        <v>20.99</v>
      </c>
      <c r="R15" s="2">
        <v>21.99</v>
      </c>
      <c r="S15" s="2">
        <v>21.37</v>
      </c>
      <c r="T15" s="2">
        <v>-0.1</v>
      </c>
      <c r="U15" s="2">
        <v>21.4</v>
      </c>
      <c r="V15" s="2">
        <v>21.24</v>
      </c>
      <c r="W15" s="2">
        <v>20.88</v>
      </c>
      <c r="X15" s="2">
        <v>20.11</v>
      </c>
      <c r="Y15" s="2">
        <v>21.64</v>
      </c>
      <c r="Z15" s="2">
        <v>21.96</v>
      </c>
      <c r="AA15" s="2">
        <v>22.61</v>
      </c>
      <c r="AB15" s="2">
        <v>112700</v>
      </c>
      <c r="AC15" s="2">
        <v>95200</v>
      </c>
      <c r="AD15" s="2">
        <v>74300</v>
      </c>
      <c r="AE15" s="2">
        <v>53400</v>
      </c>
      <c r="AF15" s="2">
        <v>78300</v>
      </c>
      <c r="AG15" s="2">
        <f>AVERAGE(AB15:AF15)</f>
        <v>82780</v>
      </c>
      <c r="AH15" s="2">
        <v>0</v>
      </c>
      <c r="AI15" s="2">
        <v>1</v>
      </c>
      <c r="AJ15" s="2">
        <v>1</v>
      </c>
      <c r="AK15" s="2">
        <v>0</v>
      </c>
      <c r="AL15" s="2">
        <v>1</v>
      </c>
      <c r="AM15" s="2">
        <v>0</v>
      </c>
      <c r="AN15" s="2">
        <v>0</v>
      </c>
      <c r="AO15" s="2">
        <v>1</v>
      </c>
      <c r="AP15" s="2">
        <v>0</v>
      </c>
      <c r="AQ15" s="2">
        <v>0</v>
      </c>
      <c r="AR15" s="2">
        <v>0</v>
      </c>
      <c r="AS15" s="2">
        <v>16.170000000000002</v>
      </c>
      <c r="AT15" s="2">
        <v>22.49</v>
      </c>
      <c r="AU15" s="2">
        <v>82.6</v>
      </c>
      <c r="AV15" s="2">
        <v>17.399999999999999</v>
      </c>
      <c r="AW15" s="2">
        <v>0</v>
      </c>
      <c r="AX15" s="2">
        <v>0</v>
      </c>
      <c r="AY15" s="2">
        <v>50.2</v>
      </c>
      <c r="AZ15" s="2">
        <v>48</v>
      </c>
      <c r="BA15" s="2">
        <v>50</v>
      </c>
      <c r="BB15" s="2">
        <v>50</v>
      </c>
      <c r="BC15" s="2">
        <v>50</v>
      </c>
      <c r="BD15" s="2">
        <v>0</v>
      </c>
      <c r="BE15" s="2">
        <v>51.3</v>
      </c>
      <c r="BF15" s="2">
        <v>48.6</v>
      </c>
      <c r="BG15" s="2">
        <v>0</v>
      </c>
      <c r="BH15" s="2">
        <v>0</v>
      </c>
      <c r="BI15" s="2">
        <v>13.1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 t="s">
        <v>137</v>
      </c>
      <c r="BV15" s="2">
        <v>24</v>
      </c>
      <c r="BW15" s="2">
        <v>25</v>
      </c>
      <c r="BX15" s="2">
        <v>23</v>
      </c>
      <c r="BY15" s="2">
        <v>1</v>
      </c>
      <c r="BZ15" s="2">
        <v>3</v>
      </c>
      <c r="CA15" s="2">
        <v>0</v>
      </c>
      <c r="CB15" s="2">
        <v>0</v>
      </c>
      <c r="CC15" s="2">
        <v>0</v>
      </c>
      <c r="CD15" s="2">
        <v>4</v>
      </c>
      <c r="CE15" s="2">
        <v>4</v>
      </c>
      <c r="CF15" s="2">
        <v>0</v>
      </c>
      <c r="CG15" s="2">
        <v>0</v>
      </c>
      <c r="CH15" s="2" t="s">
        <v>152</v>
      </c>
      <c r="CI15" s="2">
        <v>12.2</v>
      </c>
      <c r="CJ15" s="2" t="s">
        <v>139</v>
      </c>
      <c r="CK15" s="2">
        <v>1</v>
      </c>
      <c r="CL15" s="2">
        <v>24</v>
      </c>
      <c r="CM15" s="2" t="s">
        <v>204</v>
      </c>
      <c r="CN15" s="2">
        <v>3.5200000000000002E-2</v>
      </c>
      <c r="CO15" s="2">
        <v>4.57</v>
      </c>
      <c r="CP15" s="2">
        <v>1</v>
      </c>
      <c r="CQ15" s="2" t="s">
        <v>137</v>
      </c>
      <c r="CR15" s="2">
        <v>0.47332999999999997</v>
      </c>
      <c r="CS15" s="2">
        <v>0.47749999999999998</v>
      </c>
      <c r="CT15" s="2">
        <v>-4.170000000000007E-3</v>
      </c>
      <c r="CU15" s="2">
        <v>0.47332999999999997</v>
      </c>
      <c r="CV15" s="2">
        <v>3</v>
      </c>
      <c r="CW15" s="2">
        <v>0.21370001</v>
      </c>
      <c r="CX15" s="2">
        <v>0.21049999</v>
      </c>
      <c r="CY15" s="2">
        <v>11.62</v>
      </c>
      <c r="CZ15" s="2">
        <v>10.09</v>
      </c>
      <c r="DA15" s="2" t="s">
        <v>205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21965000</v>
      </c>
      <c r="DH15" s="2">
        <v>3.68</v>
      </c>
      <c r="DI15" s="2">
        <v>13.92</v>
      </c>
      <c r="DJ15" s="2">
        <v>27812000</v>
      </c>
      <c r="DK15" s="2">
        <v>-5847000</v>
      </c>
      <c r="DL15" s="2">
        <v>195512992</v>
      </c>
      <c r="DM15" s="2">
        <v>443780000</v>
      </c>
      <c r="DN15" s="2">
        <v>-248267008</v>
      </c>
      <c r="DO15" s="2">
        <v>0.44</v>
      </c>
      <c r="DP15" s="2" t="s">
        <v>137</v>
      </c>
      <c r="DQ15" s="2" t="s">
        <v>137</v>
      </c>
      <c r="DR15" s="2">
        <v>0.73</v>
      </c>
      <c r="DS15" s="2">
        <v>11.62</v>
      </c>
      <c r="DT15" s="2">
        <v>10.09</v>
      </c>
      <c r="DU15" s="2">
        <v>0.73</v>
      </c>
      <c r="DV15" s="2" t="s">
        <v>137</v>
      </c>
      <c r="DW15" s="2">
        <v>27.15</v>
      </c>
      <c r="DX15" s="2">
        <v>0.09</v>
      </c>
      <c r="DY15" s="2">
        <v>0</v>
      </c>
      <c r="DZ15" s="2">
        <v>33</v>
      </c>
      <c r="EA15" s="2">
        <v>20</v>
      </c>
      <c r="EB15" s="2">
        <v>2</v>
      </c>
      <c r="EC15" s="2">
        <v>53</v>
      </c>
      <c r="ED15" s="2">
        <v>0</v>
      </c>
    </row>
    <row r="16" spans="1:134" hidden="1" x14ac:dyDescent="0.2">
      <c r="A16" s="2" t="s">
        <v>206</v>
      </c>
      <c r="B16" s="2" t="s">
        <v>207</v>
      </c>
      <c r="C16" s="2" t="s">
        <v>186</v>
      </c>
      <c r="D16" s="2" t="s">
        <v>208</v>
      </c>
      <c r="E16" s="2">
        <v>92736904</v>
      </c>
      <c r="F16" s="2">
        <v>4.16</v>
      </c>
      <c r="G16" s="2">
        <v>4.16</v>
      </c>
      <c r="H16" s="2">
        <v>4.09</v>
      </c>
      <c r="I16" s="2">
        <v>4.04</v>
      </c>
      <c r="J16" s="2">
        <v>3.97</v>
      </c>
      <c r="K16" s="2">
        <v>3.98</v>
      </c>
      <c r="L16" s="2">
        <v>4.0199999999999996</v>
      </c>
      <c r="M16" s="2">
        <v>3.98</v>
      </c>
      <c r="N16" s="2">
        <v>3.89</v>
      </c>
      <c r="O16" s="2">
        <v>3.92</v>
      </c>
      <c r="P16" s="2">
        <v>0.21</v>
      </c>
      <c r="Q16" s="2">
        <v>3.48</v>
      </c>
      <c r="R16" s="2">
        <v>4.58</v>
      </c>
      <c r="S16" s="2">
        <v>3.9</v>
      </c>
      <c r="T16" s="2">
        <v>-0.5</v>
      </c>
      <c r="U16" s="2">
        <v>4.53</v>
      </c>
      <c r="V16" s="2">
        <v>3.58</v>
      </c>
      <c r="W16" s="2">
        <v>3.44</v>
      </c>
      <c r="X16" s="2">
        <v>3.37</v>
      </c>
      <c r="Y16" s="2">
        <v>4.1500000000000004</v>
      </c>
      <c r="Z16" s="2">
        <v>4.26</v>
      </c>
      <c r="AA16" s="2">
        <v>4.7699999999999996</v>
      </c>
      <c r="AB16" s="2">
        <v>196600</v>
      </c>
      <c r="AC16" s="2">
        <v>309400</v>
      </c>
      <c r="AD16" s="2">
        <v>165300</v>
      </c>
      <c r="AE16" s="2">
        <v>191300</v>
      </c>
      <c r="AF16" s="2">
        <v>282500</v>
      </c>
      <c r="AG16" s="2">
        <f>AVERAGE(AB16:AF16)</f>
        <v>229020</v>
      </c>
      <c r="AH16" s="2">
        <v>0</v>
      </c>
      <c r="AI16" s="2">
        <v>0</v>
      </c>
      <c r="AJ16" s="2">
        <v>1</v>
      </c>
      <c r="AK16" s="2">
        <v>0</v>
      </c>
      <c r="AL16" s="2">
        <v>1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1.97</v>
      </c>
      <c r="AT16" s="2">
        <v>5.44</v>
      </c>
      <c r="AU16" s="2">
        <v>56.2</v>
      </c>
      <c r="AV16" s="2">
        <v>43.8</v>
      </c>
      <c r="AW16" s="2">
        <v>1</v>
      </c>
      <c r="AX16" s="2">
        <v>0</v>
      </c>
      <c r="AY16" s="2">
        <v>42.4</v>
      </c>
      <c r="AZ16" s="2">
        <v>39.9</v>
      </c>
      <c r="BA16" s="2">
        <v>38.700000000000003</v>
      </c>
      <c r="BB16" s="2">
        <v>38.700000000000003</v>
      </c>
      <c r="BC16" s="2">
        <v>37.4</v>
      </c>
      <c r="BD16" s="2">
        <v>0</v>
      </c>
      <c r="BE16" s="2">
        <v>0</v>
      </c>
      <c r="BF16" s="2">
        <v>1.8</v>
      </c>
      <c r="BG16" s="2">
        <v>0</v>
      </c>
      <c r="BH16" s="2">
        <v>0</v>
      </c>
      <c r="BI16" s="2">
        <v>10.5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 t="s">
        <v>137</v>
      </c>
      <c r="BV16" s="2">
        <v>6.8333300000000001</v>
      </c>
      <c r="BW16" s="2">
        <v>8</v>
      </c>
      <c r="BX16" s="2">
        <v>6</v>
      </c>
      <c r="BY16" s="2">
        <v>0</v>
      </c>
      <c r="BZ16" s="2">
        <v>3</v>
      </c>
      <c r="CA16" s="2">
        <v>0</v>
      </c>
      <c r="CB16" s="2">
        <v>0</v>
      </c>
      <c r="CC16" s="2">
        <v>0</v>
      </c>
      <c r="CD16" s="2">
        <v>3</v>
      </c>
      <c r="CE16" s="2">
        <v>3</v>
      </c>
      <c r="CF16" s="2">
        <v>0</v>
      </c>
      <c r="CG16" s="2">
        <v>0</v>
      </c>
      <c r="CH16" s="2" t="s">
        <v>152</v>
      </c>
      <c r="CI16" s="2">
        <v>74.3</v>
      </c>
      <c r="CJ16" s="2" t="s">
        <v>139</v>
      </c>
      <c r="CK16" s="2">
        <v>1</v>
      </c>
      <c r="CL16" s="2">
        <v>6.83</v>
      </c>
      <c r="CM16" s="2" t="s">
        <v>209</v>
      </c>
      <c r="CN16" s="2">
        <v>3.5200000000000002E-2</v>
      </c>
      <c r="CO16" s="2">
        <v>1.1599999999999999</v>
      </c>
      <c r="CP16" s="2">
        <v>1</v>
      </c>
      <c r="CQ16" s="2" t="s">
        <v>137</v>
      </c>
      <c r="CR16" s="2">
        <v>-3.3329999999999999E-2</v>
      </c>
      <c r="CS16" s="2">
        <v>-0.04</v>
      </c>
      <c r="CT16" s="2">
        <v>6.6700000000000023E-3</v>
      </c>
      <c r="CU16" s="2">
        <v>-3.3329999999999999E-2</v>
      </c>
      <c r="CV16" s="2">
        <v>3</v>
      </c>
      <c r="CW16" s="2">
        <v>-1.1042000000000001</v>
      </c>
      <c r="CX16" s="2">
        <v>-1.4638001</v>
      </c>
      <c r="CY16" s="2">
        <v>10.89</v>
      </c>
      <c r="CZ16" s="2">
        <v>87.11</v>
      </c>
      <c r="DA16" s="2" t="s">
        <v>210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-19015000</v>
      </c>
      <c r="DH16" s="2">
        <v>-20.5</v>
      </c>
      <c r="DI16" s="2">
        <v>-11.13</v>
      </c>
      <c r="DJ16" s="2">
        <v>-15385000</v>
      </c>
      <c r="DK16" s="2">
        <v>-3630000</v>
      </c>
      <c r="DL16" s="2">
        <v>17043000</v>
      </c>
      <c r="DM16" s="2">
        <v>21838000</v>
      </c>
      <c r="DN16" s="2">
        <v>-4795000</v>
      </c>
      <c r="DO16" s="2">
        <v>0.78</v>
      </c>
      <c r="DP16" s="2">
        <v>2.72</v>
      </c>
      <c r="DQ16" s="2">
        <v>1.2</v>
      </c>
      <c r="DR16" s="2" t="s">
        <v>137</v>
      </c>
      <c r="DS16" s="2">
        <v>10.89</v>
      </c>
      <c r="DT16" s="2">
        <v>87.11</v>
      </c>
      <c r="DU16" s="2" t="s">
        <v>137</v>
      </c>
      <c r="DV16" s="2">
        <v>10.050000000000001</v>
      </c>
      <c r="DW16" s="2" t="s">
        <v>137</v>
      </c>
      <c r="DX16" s="2">
        <v>5.77</v>
      </c>
      <c r="DY16" s="2">
        <v>0</v>
      </c>
      <c r="DZ16" s="2">
        <v>32</v>
      </c>
      <c r="EA16" s="2">
        <v>10</v>
      </c>
      <c r="EB16" s="2">
        <v>1</v>
      </c>
      <c r="EC16" s="2">
        <v>42</v>
      </c>
      <c r="ED16" s="2">
        <v>0</v>
      </c>
    </row>
    <row r="17" spans="1:134" hidden="1" x14ac:dyDescent="0.2">
      <c r="A17" t="s">
        <v>211</v>
      </c>
      <c r="B17" t="s">
        <v>212</v>
      </c>
      <c r="C17" t="s">
        <v>135</v>
      </c>
      <c r="D17" t="s">
        <v>163</v>
      </c>
      <c r="E17">
        <v>1736514176</v>
      </c>
      <c r="F17">
        <v>38.67</v>
      </c>
      <c r="G17">
        <v>38.270000000000003</v>
      </c>
      <c r="H17">
        <v>38.19</v>
      </c>
      <c r="I17">
        <v>37.94</v>
      </c>
      <c r="J17">
        <v>37.950000000000003</v>
      </c>
      <c r="K17">
        <v>38.380000000000003</v>
      </c>
      <c r="L17">
        <v>38.68</v>
      </c>
      <c r="M17">
        <v>38.67</v>
      </c>
      <c r="N17">
        <v>38.659999999999997</v>
      </c>
      <c r="O17">
        <v>38.43</v>
      </c>
      <c r="P17">
        <v>0.63</v>
      </c>
      <c r="Q17">
        <v>38</v>
      </c>
      <c r="R17">
        <v>39.08</v>
      </c>
      <c r="S17">
        <v>38.409999999999997</v>
      </c>
      <c r="T17">
        <v>-0.1</v>
      </c>
      <c r="U17">
        <v>38.39</v>
      </c>
      <c r="V17">
        <v>38.31</v>
      </c>
      <c r="W17">
        <v>37.619999999999997</v>
      </c>
      <c r="X17">
        <v>37.03</v>
      </c>
      <c r="Y17">
        <v>38.83</v>
      </c>
      <c r="Z17">
        <v>39.51</v>
      </c>
      <c r="AA17">
        <v>40.03</v>
      </c>
      <c r="AB17">
        <v>227300</v>
      </c>
      <c r="AC17">
        <v>222600</v>
      </c>
      <c r="AD17">
        <v>248100</v>
      </c>
      <c r="AE17">
        <v>203800</v>
      </c>
      <c r="AF17">
        <v>298300</v>
      </c>
      <c r="AG17" s="2">
        <f>AVERAGE(AB17:AF17)</f>
        <v>240020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1</v>
      </c>
      <c r="AS17">
        <v>25.72</v>
      </c>
      <c r="AT17">
        <v>39.78</v>
      </c>
      <c r="AU17">
        <v>90.4</v>
      </c>
      <c r="AV17">
        <v>9.6</v>
      </c>
      <c r="AW17">
        <v>0</v>
      </c>
      <c r="AX17">
        <v>0</v>
      </c>
      <c r="AY17">
        <v>48.5</v>
      </c>
      <c r="AZ17">
        <v>44.6</v>
      </c>
      <c r="BA17">
        <v>50.3</v>
      </c>
      <c r="BB17">
        <v>53.7</v>
      </c>
      <c r="BC17">
        <v>50.7</v>
      </c>
      <c r="BD17">
        <v>0</v>
      </c>
      <c r="BE17">
        <v>70.8</v>
      </c>
      <c r="BF17">
        <v>59.6</v>
      </c>
      <c r="BG17">
        <v>0</v>
      </c>
      <c r="BH17">
        <v>0</v>
      </c>
      <c r="BI17">
        <v>17.2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 t="s">
        <v>137</v>
      </c>
      <c r="BV17">
        <v>43.2</v>
      </c>
      <c r="BW17">
        <v>46</v>
      </c>
      <c r="BX17">
        <v>40</v>
      </c>
      <c r="BY17">
        <v>1</v>
      </c>
      <c r="BZ17">
        <v>2</v>
      </c>
      <c r="CA17">
        <v>3</v>
      </c>
      <c r="CB17">
        <v>0</v>
      </c>
      <c r="CC17">
        <v>0</v>
      </c>
      <c r="CD17">
        <v>6</v>
      </c>
      <c r="CE17">
        <v>3</v>
      </c>
      <c r="CF17">
        <v>3</v>
      </c>
      <c r="CG17">
        <v>0</v>
      </c>
      <c r="CH17" t="s">
        <v>152</v>
      </c>
      <c r="CI17">
        <v>12.4</v>
      </c>
      <c r="CJ17" t="s">
        <v>139</v>
      </c>
      <c r="CK17">
        <v>1</v>
      </c>
      <c r="CL17">
        <v>43.2</v>
      </c>
      <c r="CM17" t="s">
        <v>213</v>
      </c>
      <c r="CN17">
        <v>4.9099996999999999E-2</v>
      </c>
      <c r="CO17">
        <v>4.53</v>
      </c>
      <c r="CP17">
        <v>1</v>
      </c>
      <c r="CQ17" t="s">
        <v>137</v>
      </c>
      <c r="CR17">
        <v>0.81499999999999995</v>
      </c>
      <c r="CS17">
        <v>0.81200000000000006</v>
      </c>
      <c r="CT17">
        <v>2.9999999999998921E-3</v>
      </c>
      <c r="CU17">
        <v>0.81499999999999995</v>
      </c>
      <c r="CV17">
        <v>6</v>
      </c>
      <c r="CW17">
        <v>-1.8099998999999999E-2</v>
      </c>
      <c r="CX17">
        <v>0.12870000000000001</v>
      </c>
      <c r="CY17">
        <v>11.58</v>
      </c>
      <c r="CZ17">
        <v>11.26</v>
      </c>
      <c r="DA17" t="s">
        <v>214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136321000</v>
      </c>
      <c r="DH17">
        <v>7.85</v>
      </c>
      <c r="DI17">
        <v>31.38</v>
      </c>
      <c r="DJ17">
        <v>140318000</v>
      </c>
      <c r="DK17">
        <v>-3997000</v>
      </c>
      <c r="DL17">
        <v>216182000</v>
      </c>
      <c r="DM17">
        <v>627110016</v>
      </c>
      <c r="DN17">
        <v>-410928016</v>
      </c>
      <c r="DO17">
        <v>0.34</v>
      </c>
      <c r="DP17" t="s">
        <v>137</v>
      </c>
      <c r="DQ17" t="s">
        <v>137</v>
      </c>
      <c r="DR17" t="s">
        <v>137</v>
      </c>
      <c r="DS17">
        <v>11.58</v>
      </c>
      <c r="DT17">
        <v>11.26</v>
      </c>
      <c r="DU17" t="s">
        <v>137</v>
      </c>
      <c r="DV17" t="s">
        <v>137</v>
      </c>
      <c r="DW17">
        <v>12.74</v>
      </c>
      <c r="DX17">
        <v>0.62</v>
      </c>
      <c r="DY17">
        <v>0</v>
      </c>
      <c r="DZ17">
        <v>30</v>
      </c>
      <c r="EA17">
        <v>10</v>
      </c>
      <c r="EB17">
        <v>1</v>
      </c>
      <c r="EC17">
        <v>40</v>
      </c>
      <c r="ED17">
        <v>0</v>
      </c>
    </row>
    <row r="18" spans="1:134" hidden="1" x14ac:dyDescent="0.2">
      <c r="A18" t="s">
        <v>215</v>
      </c>
      <c r="B18" t="s">
        <v>216</v>
      </c>
      <c r="C18" t="s">
        <v>135</v>
      </c>
      <c r="D18" t="s">
        <v>163</v>
      </c>
      <c r="E18">
        <v>721324800</v>
      </c>
      <c r="F18">
        <v>31.78</v>
      </c>
      <c r="G18">
        <v>31.36</v>
      </c>
      <c r="H18">
        <v>31.14</v>
      </c>
      <c r="I18">
        <v>31.4</v>
      </c>
      <c r="J18">
        <v>31.36</v>
      </c>
      <c r="K18">
        <v>31.6</v>
      </c>
      <c r="L18">
        <v>31.95</v>
      </c>
      <c r="M18">
        <v>31.23</v>
      </c>
      <c r="N18">
        <v>31.2</v>
      </c>
      <c r="O18">
        <v>31.14</v>
      </c>
      <c r="P18">
        <v>0.77</v>
      </c>
      <c r="Q18">
        <v>30.53</v>
      </c>
      <c r="R18">
        <v>32.049999999999997</v>
      </c>
      <c r="S18">
        <v>31.12</v>
      </c>
      <c r="T18">
        <v>-0.1</v>
      </c>
      <c r="U18">
        <v>32.520000000000003</v>
      </c>
      <c r="V18">
        <v>30.91</v>
      </c>
      <c r="W18">
        <v>30.54</v>
      </c>
      <c r="X18">
        <v>30</v>
      </c>
      <c r="Y18">
        <v>32.200000000000003</v>
      </c>
      <c r="Z18">
        <v>32.99</v>
      </c>
      <c r="AA18">
        <v>33.520000000000003</v>
      </c>
      <c r="AB18">
        <v>185800</v>
      </c>
      <c r="AC18">
        <v>231600</v>
      </c>
      <c r="AD18">
        <v>203500</v>
      </c>
      <c r="AE18">
        <v>231000</v>
      </c>
      <c r="AF18">
        <v>223100</v>
      </c>
      <c r="AG18" s="2">
        <f>AVERAGE(AB18:AF18)</f>
        <v>215000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16.96</v>
      </c>
      <c r="AT18">
        <v>35.72</v>
      </c>
      <c r="AU18">
        <v>75.599999999999994</v>
      </c>
      <c r="AV18">
        <v>24.4</v>
      </c>
      <c r="AW18">
        <v>0</v>
      </c>
      <c r="AX18">
        <v>0</v>
      </c>
      <c r="AY18">
        <v>44.8</v>
      </c>
      <c r="AZ18">
        <v>45.2</v>
      </c>
      <c r="BA18">
        <v>47.2</v>
      </c>
      <c r="BB18">
        <v>44</v>
      </c>
      <c r="BC18">
        <v>43.2</v>
      </c>
      <c r="BD18">
        <v>0</v>
      </c>
      <c r="BE18">
        <v>55.1</v>
      </c>
      <c r="BF18">
        <v>60.7</v>
      </c>
      <c r="BG18">
        <v>0</v>
      </c>
      <c r="BH18">
        <v>0</v>
      </c>
      <c r="BI18">
        <v>22.4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">
        <v>137</v>
      </c>
      <c r="BV18">
        <v>35.083329999999997</v>
      </c>
      <c r="BW18">
        <v>35.75</v>
      </c>
      <c r="BX18">
        <v>34.5</v>
      </c>
      <c r="BY18">
        <v>0</v>
      </c>
      <c r="BZ18">
        <v>1</v>
      </c>
      <c r="CA18">
        <v>3</v>
      </c>
      <c r="CB18">
        <v>0</v>
      </c>
      <c r="CC18">
        <v>0</v>
      </c>
      <c r="CD18">
        <v>4</v>
      </c>
      <c r="CE18">
        <v>1</v>
      </c>
      <c r="CF18">
        <v>3</v>
      </c>
      <c r="CG18">
        <v>0</v>
      </c>
      <c r="CH18" t="s">
        <v>152</v>
      </c>
      <c r="CI18">
        <v>12.7</v>
      </c>
      <c r="CJ18" t="s">
        <v>139</v>
      </c>
      <c r="CK18">
        <v>1</v>
      </c>
      <c r="CL18">
        <v>63.81</v>
      </c>
      <c r="CM18" t="s">
        <v>217</v>
      </c>
      <c r="CN18">
        <v>9.2899999999999996E-2</v>
      </c>
      <c r="CO18">
        <v>5.62</v>
      </c>
      <c r="CP18">
        <v>1</v>
      </c>
      <c r="CQ18" t="s">
        <v>137</v>
      </c>
      <c r="CR18">
        <v>0.53</v>
      </c>
      <c r="CS18">
        <v>0.53</v>
      </c>
      <c r="CT18">
        <v>0</v>
      </c>
      <c r="CU18">
        <v>0.53</v>
      </c>
      <c r="CV18">
        <v>4</v>
      </c>
      <c r="CW18">
        <v>1.0385</v>
      </c>
      <c r="CX18">
        <v>3.1463000000000001</v>
      </c>
      <c r="CY18">
        <v>5.37</v>
      </c>
      <c r="CZ18">
        <v>11.98</v>
      </c>
      <c r="DA18" t="s">
        <v>214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31807000</v>
      </c>
      <c r="DH18">
        <v>4.41</v>
      </c>
      <c r="DI18">
        <v>11.11</v>
      </c>
      <c r="DJ18">
        <v>39862000</v>
      </c>
      <c r="DK18">
        <v>-8055000</v>
      </c>
      <c r="DL18">
        <v>219466000</v>
      </c>
      <c r="DM18">
        <v>11392000</v>
      </c>
      <c r="DN18">
        <v>208074000</v>
      </c>
      <c r="DO18">
        <v>19.260000000000002</v>
      </c>
      <c r="DP18" t="s">
        <v>137</v>
      </c>
      <c r="DQ18" t="s">
        <v>137</v>
      </c>
      <c r="DR18" t="s">
        <v>137</v>
      </c>
      <c r="DS18">
        <v>5.37</v>
      </c>
      <c r="DT18">
        <v>11.98</v>
      </c>
      <c r="DU18" t="s">
        <v>137</v>
      </c>
      <c r="DV18" t="s">
        <v>137</v>
      </c>
      <c r="DW18">
        <v>22.68</v>
      </c>
      <c r="DX18">
        <v>1.46</v>
      </c>
      <c r="DY18">
        <v>0</v>
      </c>
      <c r="DZ18">
        <v>39</v>
      </c>
      <c r="EA18">
        <v>10</v>
      </c>
      <c r="EB18">
        <v>1</v>
      </c>
      <c r="EC18">
        <v>49</v>
      </c>
      <c r="ED18">
        <v>0</v>
      </c>
    </row>
    <row r="19" spans="1:134" x14ac:dyDescent="0.2">
      <c r="A19" t="s">
        <v>408</v>
      </c>
      <c r="B19" t="s">
        <v>409</v>
      </c>
      <c r="C19" t="s">
        <v>301</v>
      </c>
      <c r="D19" t="s">
        <v>396</v>
      </c>
      <c r="E19">
        <v>1907106176</v>
      </c>
      <c r="F19">
        <v>14.99</v>
      </c>
      <c r="G19">
        <v>15.11</v>
      </c>
      <c r="H19">
        <v>15.15</v>
      </c>
      <c r="I19">
        <v>15.17</v>
      </c>
      <c r="J19">
        <v>15.3</v>
      </c>
      <c r="K19">
        <v>15.1</v>
      </c>
      <c r="L19">
        <v>15</v>
      </c>
      <c r="M19">
        <v>14.9</v>
      </c>
      <c r="N19">
        <v>15</v>
      </c>
      <c r="O19">
        <v>14.84</v>
      </c>
      <c r="P19">
        <v>0.26</v>
      </c>
      <c r="Q19">
        <v>14.57</v>
      </c>
      <c r="R19">
        <v>15.25</v>
      </c>
      <c r="S19">
        <v>14.85</v>
      </c>
      <c r="T19">
        <v>0.1</v>
      </c>
      <c r="U19">
        <v>14.94</v>
      </c>
      <c r="V19">
        <v>14.7</v>
      </c>
      <c r="W19">
        <v>14.47</v>
      </c>
      <c r="X19" t="s">
        <v>137</v>
      </c>
      <c r="Y19">
        <v>15.02</v>
      </c>
      <c r="Z19">
        <v>15.35</v>
      </c>
      <c r="AA19">
        <v>15.57</v>
      </c>
      <c r="AB19">
        <v>737100</v>
      </c>
      <c r="AC19">
        <v>914900</v>
      </c>
      <c r="AD19">
        <v>632900</v>
      </c>
      <c r="AE19">
        <v>1326400</v>
      </c>
      <c r="AF19">
        <v>1069100</v>
      </c>
      <c r="AG19" s="2">
        <f>AVERAGE(AB19:AF19)</f>
        <v>936080</v>
      </c>
      <c r="AH19">
        <v>1</v>
      </c>
      <c r="AI19">
        <v>1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11.36</v>
      </c>
      <c r="AT19">
        <v>15.61</v>
      </c>
      <c r="AU19">
        <v>81.900000000000006</v>
      </c>
      <c r="AV19">
        <v>18.100000000000001</v>
      </c>
      <c r="AW19">
        <v>0</v>
      </c>
      <c r="AX19">
        <v>0</v>
      </c>
      <c r="AY19">
        <v>53.3</v>
      </c>
      <c r="AZ19">
        <v>55</v>
      </c>
      <c r="BA19">
        <v>52.6</v>
      </c>
      <c r="BB19">
        <v>46.6</v>
      </c>
      <c r="BC19">
        <v>44.9</v>
      </c>
      <c r="BD19">
        <v>0</v>
      </c>
      <c r="BE19">
        <v>13.2</v>
      </c>
      <c r="BF19">
        <v>29.4</v>
      </c>
      <c r="BG19">
        <v>0</v>
      </c>
      <c r="BH19">
        <v>0</v>
      </c>
      <c r="BI19">
        <v>12.6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1.8333299999999999</v>
      </c>
      <c r="BV19">
        <v>19.2</v>
      </c>
      <c r="BW19">
        <v>23</v>
      </c>
      <c r="BX19">
        <v>17</v>
      </c>
      <c r="BY19">
        <v>1</v>
      </c>
      <c r="BZ19">
        <v>3</v>
      </c>
      <c r="CA19">
        <v>2</v>
      </c>
      <c r="CB19">
        <v>0</v>
      </c>
      <c r="CC19">
        <v>0</v>
      </c>
      <c r="CD19">
        <v>6</v>
      </c>
      <c r="CE19">
        <v>4</v>
      </c>
      <c r="CF19">
        <v>2</v>
      </c>
      <c r="CG19">
        <v>0</v>
      </c>
      <c r="CH19" t="s">
        <v>138</v>
      </c>
      <c r="CI19">
        <v>29.4</v>
      </c>
      <c r="CJ19" t="s">
        <v>139</v>
      </c>
      <c r="CK19">
        <v>0</v>
      </c>
      <c r="CL19">
        <v>20.170000000000002</v>
      </c>
      <c r="CM19" t="s">
        <v>410</v>
      </c>
      <c r="CN19">
        <v>3.8399997999999998E-2</v>
      </c>
      <c r="CO19">
        <v>3.63</v>
      </c>
      <c r="CP19">
        <v>0</v>
      </c>
      <c r="CQ19" t="s">
        <v>137</v>
      </c>
      <c r="CR19">
        <v>0.26</v>
      </c>
      <c r="CS19">
        <v>0.26</v>
      </c>
      <c r="CT19">
        <v>0</v>
      </c>
      <c r="CU19">
        <v>0.26</v>
      </c>
      <c r="CV19">
        <v>1</v>
      </c>
      <c r="CW19">
        <v>0.22239999999999999</v>
      </c>
      <c r="CX19">
        <v>0.32200000000000001</v>
      </c>
      <c r="CY19">
        <v>17.46</v>
      </c>
      <c r="CZ19">
        <v>14.13</v>
      </c>
      <c r="DA19" t="s">
        <v>148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22969000</v>
      </c>
      <c r="DH19">
        <v>1.2</v>
      </c>
      <c r="DI19">
        <v>6.66</v>
      </c>
      <c r="DJ19">
        <v>246462000</v>
      </c>
      <c r="DK19">
        <v>-223493000</v>
      </c>
      <c r="DL19">
        <v>44931000</v>
      </c>
      <c r="DM19">
        <v>483272992</v>
      </c>
      <c r="DN19">
        <v>-438341992</v>
      </c>
      <c r="DO19">
        <v>0.09</v>
      </c>
      <c r="DP19">
        <v>7.3</v>
      </c>
      <c r="DQ19">
        <v>7.28</v>
      </c>
      <c r="DR19">
        <v>2.37</v>
      </c>
      <c r="DS19">
        <v>17.46</v>
      </c>
      <c r="DT19">
        <v>14.13</v>
      </c>
      <c r="DU19">
        <v>2.37</v>
      </c>
      <c r="DV19">
        <v>8.44</v>
      </c>
      <c r="DW19">
        <v>83.03</v>
      </c>
      <c r="DX19">
        <v>2.1800000000000002</v>
      </c>
      <c r="DY19">
        <v>0</v>
      </c>
      <c r="DZ19">
        <v>48</v>
      </c>
      <c r="EA19">
        <v>25</v>
      </c>
      <c r="EB19">
        <v>2</v>
      </c>
      <c r="EC19">
        <v>73</v>
      </c>
      <c r="ED19">
        <v>1</v>
      </c>
    </row>
    <row r="20" spans="1:134" hidden="1" x14ac:dyDescent="0.2">
      <c r="A20" t="s">
        <v>222</v>
      </c>
      <c r="B20" t="s">
        <v>223</v>
      </c>
      <c r="C20" t="s">
        <v>135</v>
      </c>
      <c r="D20" t="s">
        <v>163</v>
      </c>
      <c r="E20">
        <v>454140192</v>
      </c>
      <c r="F20">
        <v>21.69</v>
      </c>
      <c r="G20">
        <v>21.31</v>
      </c>
      <c r="H20">
        <v>21.24</v>
      </c>
      <c r="I20">
        <v>21.3</v>
      </c>
      <c r="J20">
        <v>21.29</v>
      </c>
      <c r="K20">
        <v>21.46</v>
      </c>
      <c r="L20">
        <v>21.68</v>
      </c>
      <c r="M20">
        <v>21.46</v>
      </c>
      <c r="N20">
        <v>21.42</v>
      </c>
      <c r="O20">
        <v>21.4</v>
      </c>
      <c r="P20">
        <v>0.39</v>
      </c>
      <c r="Q20">
        <v>20.7</v>
      </c>
      <c r="R20">
        <v>22.45</v>
      </c>
      <c r="S20">
        <v>21.42</v>
      </c>
      <c r="T20">
        <v>0.1</v>
      </c>
      <c r="U20">
        <v>21.37</v>
      </c>
      <c r="V20">
        <v>20.9</v>
      </c>
      <c r="W20">
        <v>20.329999999999998</v>
      </c>
      <c r="X20">
        <v>19.739999999999998</v>
      </c>
      <c r="Y20">
        <v>21.77</v>
      </c>
      <c r="Z20">
        <v>22.36</v>
      </c>
      <c r="AA20" t="s">
        <v>137</v>
      </c>
      <c r="AB20">
        <v>96200</v>
      </c>
      <c r="AC20">
        <v>128400</v>
      </c>
      <c r="AD20">
        <v>99600</v>
      </c>
      <c r="AE20">
        <v>86800</v>
      </c>
      <c r="AF20">
        <v>141700</v>
      </c>
      <c r="AG20" s="2">
        <f>AVERAGE(AB20:AF20)</f>
        <v>110540</v>
      </c>
      <c r="AH20">
        <v>0</v>
      </c>
      <c r="AI20">
        <v>1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1</v>
      </c>
      <c r="AS20">
        <v>15.93</v>
      </c>
      <c r="AT20">
        <v>22.27</v>
      </c>
      <c r="AU20">
        <v>86.3</v>
      </c>
      <c r="AV20">
        <v>13.7</v>
      </c>
      <c r="AW20">
        <v>0</v>
      </c>
      <c r="AX20">
        <v>0</v>
      </c>
      <c r="AY20">
        <v>47.3</v>
      </c>
      <c r="AZ20">
        <v>47.1</v>
      </c>
      <c r="BA20">
        <v>50.4</v>
      </c>
      <c r="BB20">
        <v>50.4</v>
      </c>
      <c r="BC20">
        <v>49.1</v>
      </c>
      <c r="BD20">
        <v>0</v>
      </c>
      <c r="BE20">
        <v>64.400000000000006</v>
      </c>
      <c r="BF20">
        <v>59.9</v>
      </c>
      <c r="BG20">
        <v>0</v>
      </c>
      <c r="BH20">
        <v>0</v>
      </c>
      <c r="BI20">
        <v>21.5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t="s">
        <v>137</v>
      </c>
      <c r="BV20">
        <v>25</v>
      </c>
      <c r="BW20">
        <v>26</v>
      </c>
      <c r="BX20">
        <v>24</v>
      </c>
      <c r="BY20">
        <v>0</v>
      </c>
      <c r="BZ20">
        <v>2</v>
      </c>
      <c r="CA20">
        <v>0</v>
      </c>
      <c r="CB20">
        <v>0</v>
      </c>
      <c r="CC20">
        <v>0</v>
      </c>
      <c r="CD20">
        <v>2</v>
      </c>
      <c r="CE20">
        <v>2</v>
      </c>
      <c r="CF20">
        <v>0</v>
      </c>
      <c r="CG20">
        <v>0</v>
      </c>
      <c r="CH20" t="s">
        <v>152</v>
      </c>
      <c r="CI20">
        <v>16.8</v>
      </c>
      <c r="CJ20" t="s">
        <v>139</v>
      </c>
      <c r="CK20">
        <v>0</v>
      </c>
      <c r="CL20">
        <v>25</v>
      </c>
      <c r="CM20" t="s">
        <v>224</v>
      </c>
      <c r="CN20">
        <v>5.1799998E-2</v>
      </c>
      <c r="CO20">
        <v>7.13</v>
      </c>
      <c r="CP20">
        <v>0</v>
      </c>
      <c r="CQ20" t="s">
        <v>137</v>
      </c>
      <c r="CR20">
        <v>0.5</v>
      </c>
      <c r="CS20">
        <v>0.52</v>
      </c>
      <c r="CT20">
        <v>-2.0000000000000021E-2</v>
      </c>
      <c r="CU20">
        <v>0.5</v>
      </c>
      <c r="CV20">
        <v>1</v>
      </c>
      <c r="CW20">
        <v>6.3799999999999996E-2</v>
      </c>
      <c r="CX20">
        <v>0.13969999999999999</v>
      </c>
      <c r="CY20">
        <v>12.89</v>
      </c>
      <c r="CZ20">
        <v>9.0500000000000007</v>
      </c>
      <c r="DA20" t="s">
        <v>177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-6899000</v>
      </c>
      <c r="DH20">
        <v>-1.52</v>
      </c>
      <c r="DI20">
        <v>-4.74</v>
      </c>
      <c r="DJ20">
        <v>-5545000</v>
      </c>
      <c r="DK20">
        <v>-1354000</v>
      </c>
      <c r="DL20">
        <v>159946000</v>
      </c>
      <c r="DM20">
        <v>233168000</v>
      </c>
      <c r="DN20">
        <v>-73222000</v>
      </c>
      <c r="DO20">
        <v>0.69</v>
      </c>
      <c r="DP20" t="s">
        <v>137</v>
      </c>
      <c r="DQ20" t="s">
        <v>137</v>
      </c>
      <c r="DR20">
        <v>2.11</v>
      </c>
      <c r="DS20">
        <v>12.89</v>
      </c>
      <c r="DT20">
        <v>9.0500000000000007</v>
      </c>
      <c r="DU20">
        <v>2.11</v>
      </c>
      <c r="DV20" t="s">
        <v>137</v>
      </c>
      <c r="DW20" t="s">
        <v>137</v>
      </c>
      <c r="DX20">
        <v>0.28000000000000003</v>
      </c>
      <c r="DY20">
        <v>0</v>
      </c>
      <c r="DZ20">
        <v>30</v>
      </c>
      <c r="EA20">
        <v>10</v>
      </c>
      <c r="EB20">
        <v>1</v>
      </c>
      <c r="EC20">
        <v>40</v>
      </c>
      <c r="ED20">
        <v>0</v>
      </c>
    </row>
    <row r="21" spans="1:134" hidden="1" x14ac:dyDescent="0.2">
      <c r="A21" t="s">
        <v>225</v>
      </c>
      <c r="B21" t="s">
        <v>226</v>
      </c>
      <c r="C21" t="s">
        <v>135</v>
      </c>
      <c r="D21" t="s">
        <v>163</v>
      </c>
      <c r="E21">
        <v>186494144</v>
      </c>
      <c r="F21">
        <v>37.51</v>
      </c>
      <c r="G21">
        <v>37.520000000000003</v>
      </c>
      <c r="H21">
        <v>37.51</v>
      </c>
      <c r="I21">
        <v>37.31</v>
      </c>
      <c r="J21">
        <v>37.299999999999997</v>
      </c>
      <c r="K21">
        <v>37.299999999999997</v>
      </c>
      <c r="L21">
        <v>37.43</v>
      </c>
      <c r="M21">
        <v>37.26</v>
      </c>
      <c r="N21">
        <v>37.31</v>
      </c>
      <c r="O21">
        <v>36.700000000000003</v>
      </c>
      <c r="P21">
        <v>0.4</v>
      </c>
      <c r="Q21">
        <v>35.35</v>
      </c>
      <c r="R21">
        <v>38.729999999999997</v>
      </c>
      <c r="S21">
        <v>37.520000000000003</v>
      </c>
      <c r="T21">
        <v>2.2000000000000002</v>
      </c>
      <c r="U21">
        <v>37.14</v>
      </c>
      <c r="V21">
        <v>35.549999999999997</v>
      </c>
      <c r="W21">
        <v>34.340000000000003</v>
      </c>
      <c r="X21">
        <v>33.85</v>
      </c>
      <c r="Y21">
        <v>37.04</v>
      </c>
      <c r="Z21">
        <v>37.93</v>
      </c>
      <c r="AA21">
        <v>38.39</v>
      </c>
      <c r="AB21">
        <v>3000</v>
      </c>
      <c r="AC21">
        <v>4100</v>
      </c>
      <c r="AD21">
        <v>2800</v>
      </c>
      <c r="AE21">
        <v>5900</v>
      </c>
      <c r="AF21">
        <v>5900</v>
      </c>
      <c r="AG21" s="2">
        <f>AVERAGE(AB21:AF21)</f>
        <v>4340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31.81</v>
      </c>
      <c r="AT21">
        <v>38.31</v>
      </c>
      <c r="AU21">
        <v>75.2</v>
      </c>
      <c r="AV21">
        <v>24.8</v>
      </c>
      <c r="AW21">
        <v>0</v>
      </c>
      <c r="AX21">
        <v>0</v>
      </c>
      <c r="AY21">
        <v>52.8</v>
      </c>
      <c r="AZ21">
        <v>49.5</v>
      </c>
      <c r="BA21">
        <v>49.3</v>
      </c>
      <c r="BB21">
        <v>48.7</v>
      </c>
      <c r="BC21">
        <v>40.4</v>
      </c>
      <c r="BD21">
        <v>0</v>
      </c>
      <c r="BE21">
        <v>13.9</v>
      </c>
      <c r="BF21">
        <v>25.6</v>
      </c>
      <c r="BG21">
        <v>0</v>
      </c>
      <c r="BH21">
        <v>0</v>
      </c>
      <c r="BI21">
        <v>16.899999999999999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">
        <v>137</v>
      </c>
      <c r="BV21">
        <v>41.333329999999997</v>
      </c>
      <c r="BW21">
        <v>44</v>
      </c>
      <c r="BX21">
        <v>40</v>
      </c>
      <c r="BY21">
        <v>1</v>
      </c>
      <c r="BZ21">
        <v>1</v>
      </c>
      <c r="CA21">
        <v>1</v>
      </c>
      <c r="CB21">
        <v>0</v>
      </c>
      <c r="CC21">
        <v>0</v>
      </c>
      <c r="CD21">
        <v>3</v>
      </c>
      <c r="CE21">
        <v>2</v>
      </c>
      <c r="CF21">
        <v>1</v>
      </c>
      <c r="CG21">
        <v>0</v>
      </c>
      <c r="CH21" t="s">
        <v>152</v>
      </c>
      <c r="CI21">
        <v>12.6</v>
      </c>
      <c r="CJ21" t="s">
        <v>139</v>
      </c>
      <c r="CK21">
        <v>1</v>
      </c>
      <c r="CL21">
        <v>41.67</v>
      </c>
      <c r="CM21" t="s">
        <v>227</v>
      </c>
      <c r="CN21">
        <v>1.9E-2</v>
      </c>
      <c r="CO21">
        <v>17.02</v>
      </c>
      <c r="CP21">
        <v>2</v>
      </c>
      <c r="CQ21" t="s">
        <v>137</v>
      </c>
      <c r="CR21">
        <v>0.82499999999999996</v>
      </c>
      <c r="CS21">
        <v>0.76</v>
      </c>
      <c r="CT21">
        <v>6.4999999999999947E-2</v>
      </c>
      <c r="CU21">
        <v>0.82499999999999996</v>
      </c>
      <c r="CV21">
        <v>2</v>
      </c>
      <c r="CW21">
        <v>0.1149</v>
      </c>
      <c r="CX21">
        <v>0.18450000999999999</v>
      </c>
      <c r="CY21">
        <v>26.79</v>
      </c>
      <c r="CZ21">
        <v>10.93</v>
      </c>
      <c r="DA21" t="s">
        <v>165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17157000</v>
      </c>
      <c r="DH21">
        <v>9.1999999999999993</v>
      </c>
      <c r="DI21">
        <v>36.19</v>
      </c>
      <c r="DJ21">
        <v>17807000</v>
      </c>
      <c r="DK21">
        <v>-650000</v>
      </c>
      <c r="DL21">
        <v>76173000</v>
      </c>
      <c r="DM21">
        <v>103021000</v>
      </c>
      <c r="DN21">
        <v>-26848000</v>
      </c>
      <c r="DO21">
        <v>0.74</v>
      </c>
      <c r="DP21" t="s">
        <v>137</v>
      </c>
      <c r="DQ21" t="s">
        <v>137</v>
      </c>
      <c r="DR21">
        <v>1.1200000000000001</v>
      </c>
      <c r="DS21">
        <v>26.79</v>
      </c>
      <c r="DT21">
        <v>10.93</v>
      </c>
      <c r="DU21">
        <v>1.1200000000000001</v>
      </c>
      <c r="DV21" t="s">
        <v>137</v>
      </c>
      <c r="DW21">
        <v>10.87</v>
      </c>
      <c r="DX21">
        <v>2.19</v>
      </c>
      <c r="DY21">
        <v>0</v>
      </c>
      <c r="DZ21">
        <v>42</v>
      </c>
      <c r="EA21">
        <v>20</v>
      </c>
      <c r="EB21">
        <v>2</v>
      </c>
      <c r="EC21">
        <v>62</v>
      </c>
      <c r="ED21">
        <v>1</v>
      </c>
    </row>
    <row r="22" spans="1:134" hidden="1" x14ac:dyDescent="0.2">
      <c r="A22" t="s">
        <v>228</v>
      </c>
      <c r="B22" t="s">
        <v>229</v>
      </c>
      <c r="C22" t="s">
        <v>135</v>
      </c>
      <c r="D22" t="s">
        <v>163</v>
      </c>
      <c r="E22">
        <v>462417856</v>
      </c>
      <c r="F22">
        <v>34.65</v>
      </c>
      <c r="G22">
        <v>33.909999999999997</v>
      </c>
      <c r="H22">
        <v>33.76</v>
      </c>
      <c r="I22">
        <v>33.72</v>
      </c>
      <c r="J22">
        <v>33.799999999999997</v>
      </c>
      <c r="K22">
        <v>33.9</v>
      </c>
      <c r="L22">
        <v>34.21</v>
      </c>
      <c r="M22">
        <v>33.869999999999997</v>
      </c>
      <c r="N22">
        <v>34.130000000000003</v>
      </c>
      <c r="O22">
        <v>33.75</v>
      </c>
      <c r="P22">
        <v>0.74</v>
      </c>
      <c r="Q22">
        <v>33.03</v>
      </c>
      <c r="R22">
        <v>34.83</v>
      </c>
      <c r="S22">
        <v>33.72</v>
      </c>
      <c r="T22">
        <v>-0.1</v>
      </c>
      <c r="U22">
        <v>34.03</v>
      </c>
      <c r="V22">
        <v>33.4</v>
      </c>
      <c r="W22">
        <v>32.229999999999997</v>
      </c>
      <c r="X22">
        <v>30.47</v>
      </c>
      <c r="Y22">
        <v>34.43</v>
      </c>
      <c r="Z22">
        <v>34.880000000000003</v>
      </c>
      <c r="AA22">
        <v>35.69</v>
      </c>
      <c r="AB22">
        <v>29300</v>
      </c>
      <c r="AC22">
        <v>53600</v>
      </c>
      <c r="AD22">
        <v>67400</v>
      </c>
      <c r="AE22">
        <v>18900</v>
      </c>
      <c r="AF22">
        <v>34500</v>
      </c>
      <c r="AG22" s="2">
        <f>AVERAGE(AB22:AF22)</f>
        <v>40740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23.6</v>
      </c>
      <c r="AT22">
        <v>35.44</v>
      </c>
      <c r="AU22">
        <v>85.7</v>
      </c>
      <c r="AV22">
        <v>14.3</v>
      </c>
      <c r="AW22">
        <v>0</v>
      </c>
      <c r="AX22">
        <v>0</v>
      </c>
      <c r="AY22">
        <v>47.8</v>
      </c>
      <c r="AZ22">
        <v>46</v>
      </c>
      <c r="BA22">
        <v>48</v>
      </c>
      <c r="BB22">
        <v>47.7</v>
      </c>
      <c r="BC22">
        <v>46.3</v>
      </c>
      <c r="BD22">
        <v>1</v>
      </c>
      <c r="BE22">
        <v>13.4</v>
      </c>
      <c r="BF22">
        <v>12.9</v>
      </c>
      <c r="BG22">
        <v>0</v>
      </c>
      <c r="BH22">
        <v>0</v>
      </c>
      <c r="BI22">
        <v>18.399999999999999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 t="s">
        <v>137</v>
      </c>
      <c r="BV22">
        <v>40</v>
      </c>
      <c r="BW22">
        <v>40</v>
      </c>
      <c r="BX22">
        <v>40</v>
      </c>
      <c r="BY22">
        <v>0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1</v>
      </c>
      <c r="CF22">
        <v>0</v>
      </c>
      <c r="CG22">
        <v>0</v>
      </c>
      <c r="CH22" t="s">
        <v>152</v>
      </c>
      <c r="CI22">
        <v>18.5</v>
      </c>
      <c r="CJ22" t="s">
        <v>139</v>
      </c>
      <c r="CK22">
        <v>1</v>
      </c>
      <c r="CL22">
        <v>40</v>
      </c>
      <c r="CM22" t="s">
        <v>230</v>
      </c>
      <c r="CN22">
        <v>3.1800000000000002E-2</v>
      </c>
      <c r="CO22">
        <v>6.04</v>
      </c>
      <c r="CP22">
        <v>1</v>
      </c>
      <c r="CQ22" t="s">
        <v>137</v>
      </c>
      <c r="CR22">
        <v>0.74</v>
      </c>
      <c r="CS22">
        <v>0.74</v>
      </c>
      <c r="CT22">
        <v>0</v>
      </c>
      <c r="CU22">
        <v>0.74</v>
      </c>
      <c r="CV22">
        <v>1</v>
      </c>
      <c r="CW22">
        <v>-3.9E-2</v>
      </c>
      <c r="CX22">
        <v>6.7999999999999996E-3</v>
      </c>
      <c r="CY22">
        <v>11.44</v>
      </c>
      <c r="CZ22">
        <v>10.61</v>
      </c>
      <c r="DA22" t="s">
        <v>231</v>
      </c>
      <c r="DB22">
        <v>1</v>
      </c>
      <c r="DC22">
        <v>0</v>
      </c>
      <c r="DD22">
        <v>1</v>
      </c>
      <c r="DE22">
        <v>0</v>
      </c>
      <c r="DF22">
        <v>0</v>
      </c>
      <c r="DG22">
        <v>35229381</v>
      </c>
      <c r="DH22">
        <v>7.62</v>
      </c>
      <c r="DI22">
        <v>38.07</v>
      </c>
      <c r="DJ22">
        <v>37094507</v>
      </c>
      <c r="DK22">
        <v>-1865126</v>
      </c>
      <c r="DL22">
        <v>185808016</v>
      </c>
      <c r="DM22">
        <v>191510816</v>
      </c>
      <c r="DN22">
        <v>-5702800</v>
      </c>
      <c r="DO22">
        <v>0.97</v>
      </c>
      <c r="DP22" t="s">
        <v>137</v>
      </c>
      <c r="DQ22" t="s">
        <v>137</v>
      </c>
      <c r="DR22" t="s">
        <v>137</v>
      </c>
      <c r="DS22">
        <v>11.44</v>
      </c>
      <c r="DT22">
        <v>10.61</v>
      </c>
      <c r="DU22" t="s">
        <v>137</v>
      </c>
      <c r="DV22" t="s">
        <v>137</v>
      </c>
      <c r="DW22">
        <v>13.13</v>
      </c>
      <c r="DX22">
        <v>0.47</v>
      </c>
      <c r="DY22">
        <v>0</v>
      </c>
      <c r="DZ22">
        <v>33</v>
      </c>
      <c r="EA22">
        <v>10</v>
      </c>
      <c r="EB22">
        <v>1</v>
      </c>
      <c r="EC22">
        <v>43</v>
      </c>
      <c r="ED22">
        <v>0</v>
      </c>
    </row>
    <row r="23" spans="1:134" hidden="1" x14ac:dyDescent="0.2">
      <c r="A23" s="2" t="s">
        <v>232</v>
      </c>
      <c r="B23" s="2" t="s">
        <v>233</v>
      </c>
      <c r="C23" s="2" t="s">
        <v>135</v>
      </c>
      <c r="D23" s="2" t="s">
        <v>163</v>
      </c>
      <c r="E23" s="2">
        <v>1025474944</v>
      </c>
      <c r="F23" s="2">
        <v>34.78</v>
      </c>
      <c r="G23" s="2">
        <v>34.450000000000003</v>
      </c>
      <c r="H23" s="2">
        <v>34.18</v>
      </c>
      <c r="I23" s="2">
        <v>34.15</v>
      </c>
      <c r="J23" s="2">
        <v>34.15</v>
      </c>
      <c r="K23" s="2">
        <v>34.47</v>
      </c>
      <c r="L23" s="2">
        <v>34.83</v>
      </c>
      <c r="M23" s="2">
        <v>34.479999999999997</v>
      </c>
      <c r="N23" s="2">
        <v>34.49</v>
      </c>
      <c r="O23" s="2">
        <v>34.619999999999997</v>
      </c>
      <c r="P23" s="2">
        <v>0.7</v>
      </c>
      <c r="Q23" s="2">
        <v>34.15</v>
      </c>
      <c r="R23" s="2">
        <v>35.32</v>
      </c>
      <c r="S23" s="2">
        <v>34.659999999999997</v>
      </c>
      <c r="T23" s="2">
        <v>0.1</v>
      </c>
      <c r="U23" s="2">
        <v>34.36</v>
      </c>
      <c r="V23" s="2">
        <v>34.5</v>
      </c>
      <c r="W23" s="2">
        <v>33.950000000000003</v>
      </c>
      <c r="X23" s="2">
        <v>33.369999999999997</v>
      </c>
      <c r="Y23" s="2">
        <v>35.11</v>
      </c>
      <c r="Z23" s="2">
        <v>36.17</v>
      </c>
      <c r="AA23" s="2" t="s">
        <v>137</v>
      </c>
      <c r="AB23" s="2">
        <v>114600</v>
      </c>
      <c r="AC23" s="2">
        <v>147100</v>
      </c>
      <c r="AD23" s="2">
        <v>90500</v>
      </c>
      <c r="AE23" s="2">
        <v>97400</v>
      </c>
      <c r="AF23" s="2">
        <v>122200</v>
      </c>
      <c r="AG23" s="2">
        <f>AVERAGE(AB23:AF23)</f>
        <v>114360</v>
      </c>
      <c r="AH23" s="2">
        <v>0</v>
      </c>
      <c r="AI23" s="2">
        <v>0</v>
      </c>
      <c r="AJ23" s="2">
        <v>1</v>
      </c>
      <c r="AK23" s="2">
        <v>0</v>
      </c>
      <c r="AL23" s="2">
        <v>1</v>
      </c>
      <c r="AM23" s="2">
        <v>0</v>
      </c>
      <c r="AN23" s="2">
        <v>0</v>
      </c>
      <c r="AO23" s="2">
        <v>1</v>
      </c>
      <c r="AP23" s="2">
        <v>0</v>
      </c>
      <c r="AQ23" s="2">
        <v>0</v>
      </c>
      <c r="AR23" s="2">
        <v>1</v>
      </c>
      <c r="AS23" s="2">
        <v>23.04</v>
      </c>
      <c r="AT23" s="2">
        <v>35.72</v>
      </c>
      <c r="AU23" s="2">
        <v>91.3</v>
      </c>
      <c r="AV23" s="2">
        <v>8.6999999999999993</v>
      </c>
      <c r="AW23" s="2">
        <v>1</v>
      </c>
      <c r="AX23" s="2">
        <v>1</v>
      </c>
      <c r="AY23" s="2">
        <v>52.5</v>
      </c>
      <c r="AZ23" s="2">
        <v>48.8</v>
      </c>
      <c r="BA23" s="2">
        <v>52.6</v>
      </c>
      <c r="BB23" s="2">
        <v>52.7</v>
      </c>
      <c r="BC23" s="2">
        <v>54.5</v>
      </c>
      <c r="BD23" s="2">
        <v>0</v>
      </c>
      <c r="BE23" s="2">
        <v>73.2</v>
      </c>
      <c r="BF23" s="2">
        <v>67</v>
      </c>
      <c r="BG23" s="2">
        <v>0</v>
      </c>
      <c r="BH23" s="2">
        <v>0</v>
      </c>
      <c r="BI23" s="2">
        <v>12.2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 t="s">
        <v>137</v>
      </c>
      <c r="BV23" s="2">
        <v>37.799999999999997</v>
      </c>
      <c r="BW23" s="2">
        <v>39</v>
      </c>
      <c r="BX23" s="2">
        <v>36</v>
      </c>
      <c r="BY23" s="2">
        <v>1</v>
      </c>
      <c r="BZ23" s="2">
        <v>2</v>
      </c>
      <c r="CA23" s="2">
        <v>2</v>
      </c>
      <c r="CB23" s="2">
        <v>0</v>
      </c>
      <c r="CC23" s="2">
        <v>0</v>
      </c>
      <c r="CD23" s="2">
        <v>5</v>
      </c>
      <c r="CE23" s="2">
        <v>3</v>
      </c>
      <c r="CF23" s="2">
        <v>2</v>
      </c>
      <c r="CG23" s="2">
        <v>0</v>
      </c>
      <c r="CH23" s="2" t="s">
        <v>152</v>
      </c>
      <c r="CI23" s="2">
        <v>9.1999999999999993</v>
      </c>
      <c r="CJ23" s="2" t="s">
        <v>139</v>
      </c>
      <c r="CK23" s="2">
        <v>0</v>
      </c>
      <c r="CL23" s="2">
        <v>37.799999999999997</v>
      </c>
      <c r="CM23" s="2" t="s">
        <v>234</v>
      </c>
      <c r="CN23" s="2">
        <v>2.4600001E-2</v>
      </c>
      <c r="CO23" s="2">
        <v>4.42</v>
      </c>
      <c r="CP23" s="2">
        <v>0</v>
      </c>
      <c r="CQ23" s="2" t="s">
        <v>137</v>
      </c>
      <c r="CR23" s="2">
        <v>0.87</v>
      </c>
      <c r="CS23" s="2">
        <v>0.89249999999999996</v>
      </c>
      <c r="CT23" s="2">
        <v>-2.2499999999999961E-2</v>
      </c>
      <c r="CU23" s="2">
        <v>0.87</v>
      </c>
      <c r="CV23" s="2">
        <v>5</v>
      </c>
      <c r="CW23" s="2">
        <v>6.0999999999999999E-2</v>
      </c>
      <c r="CX23" s="2">
        <v>0.20200000000000001</v>
      </c>
      <c r="CY23" s="2">
        <v>10.89</v>
      </c>
      <c r="CZ23" s="2">
        <v>9.3000000000000007</v>
      </c>
      <c r="DA23" s="2" t="s">
        <v>165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58651000</v>
      </c>
      <c r="DH23" s="2">
        <v>5.72</v>
      </c>
      <c r="DI23" s="2">
        <v>17.809999999999999</v>
      </c>
      <c r="DJ23" s="2">
        <v>64983000</v>
      </c>
      <c r="DK23" s="2">
        <v>-6332000</v>
      </c>
      <c r="DL23" s="2">
        <v>463132992</v>
      </c>
      <c r="DM23" s="2">
        <v>285017984</v>
      </c>
      <c r="DN23" s="2">
        <v>178115008</v>
      </c>
      <c r="DO23" s="2">
        <v>1.62</v>
      </c>
      <c r="DP23" s="2" t="s">
        <v>137</v>
      </c>
      <c r="DQ23" s="2" t="s">
        <v>137</v>
      </c>
      <c r="DR23" s="2">
        <v>1.06</v>
      </c>
      <c r="DS23" s="2">
        <v>10.89</v>
      </c>
      <c r="DT23" s="2">
        <v>9.3000000000000007</v>
      </c>
      <c r="DU23" s="2">
        <v>1.06</v>
      </c>
      <c r="DV23" s="2" t="s">
        <v>137</v>
      </c>
      <c r="DW23" s="2">
        <v>17.48</v>
      </c>
      <c r="DX23" s="2">
        <v>0</v>
      </c>
      <c r="DY23" s="2">
        <v>0</v>
      </c>
      <c r="DZ23" s="2">
        <v>36</v>
      </c>
      <c r="EA23" s="2">
        <v>20</v>
      </c>
      <c r="EB23" s="2">
        <v>2</v>
      </c>
      <c r="EC23" s="2">
        <v>56</v>
      </c>
      <c r="ED23" s="2">
        <v>0</v>
      </c>
    </row>
    <row r="24" spans="1:134" hidden="1" x14ac:dyDescent="0.2">
      <c r="A24" s="2" t="s">
        <v>235</v>
      </c>
      <c r="B24" s="2" t="s">
        <v>236</v>
      </c>
      <c r="C24" s="2" t="s">
        <v>135</v>
      </c>
      <c r="D24" s="2" t="s">
        <v>163</v>
      </c>
      <c r="E24" s="2">
        <v>594112960</v>
      </c>
      <c r="F24" s="2">
        <v>36.82</v>
      </c>
      <c r="G24" s="2">
        <v>36.36</v>
      </c>
      <c r="H24" s="2">
        <v>36.1</v>
      </c>
      <c r="I24" s="2">
        <v>36</v>
      </c>
      <c r="J24" s="2">
        <v>35.979999999999997</v>
      </c>
      <c r="K24" s="2">
        <v>36.36</v>
      </c>
      <c r="L24" s="2">
        <v>36.6</v>
      </c>
      <c r="M24" s="2">
        <v>36.25</v>
      </c>
      <c r="N24" s="2">
        <v>36.35</v>
      </c>
      <c r="O24" s="2">
        <v>36.47</v>
      </c>
      <c r="P24" s="2">
        <v>0.73</v>
      </c>
      <c r="Q24" s="2">
        <v>35.950000000000003</v>
      </c>
      <c r="R24" s="2">
        <v>37.25</v>
      </c>
      <c r="S24" s="2">
        <v>36.28</v>
      </c>
      <c r="T24" s="2">
        <v>-0.5</v>
      </c>
      <c r="U24" s="2">
        <v>36.51</v>
      </c>
      <c r="V24" s="2">
        <v>36.31</v>
      </c>
      <c r="W24" s="2">
        <v>35.880000000000003</v>
      </c>
      <c r="X24" s="2">
        <v>34.36</v>
      </c>
      <c r="Y24" s="2">
        <v>37.01</v>
      </c>
      <c r="Z24" s="2">
        <v>38.22</v>
      </c>
      <c r="AA24" s="2">
        <v>38.83</v>
      </c>
      <c r="AB24" s="2">
        <v>32900</v>
      </c>
      <c r="AC24" s="2">
        <v>39600</v>
      </c>
      <c r="AD24" s="2">
        <v>36300</v>
      </c>
      <c r="AE24" s="2">
        <v>58700</v>
      </c>
      <c r="AF24" s="2">
        <v>35800</v>
      </c>
      <c r="AG24" s="2">
        <f>AVERAGE(AB24:AF24)</f>
        <v>40660</v>
      </c>
      <c r="AH24" s="2">
        <v>0</v>
      </c>
      <c r="AI24" s="2">
        <v>0</v>
      </c>
      <c r="AJ24" s="2">
        <v>1</v>
      </c>
      <c r="AK24" s="2">
        <v>0</v>
      </c>
      <c r="AL24" s="2">
        <v>1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26.61</v>
      </c>
      <c r="AT24" s="2">
        <v>37.94</v>
      </c>
      <c r="AU24" s="2">
        <v>87</v>
      </c>
      <c r="AV24" s="2">
        <v>13</v>
      </c>
      <c r="AW24" s="2">
        <v>0</v>
      </c>
      <c r="AX24" s="2">
        <v>0</v>
      </c>
      <c r="AY24" s="2">
        <v>47.2</v>
      </c>
      <c r="AZ24" s="2">
        <v>43.4</v>
      </c>
      <c r="BA24" s="2">
        <v>47.9</v>
      </c>
      <c r="BB24" s="2">
        <v>46.7</v>
      </c>
      <c r="BC24" s="2">
        <v>49.5</v>
      </c>
      <c r="BD24" s="2">
        <v>0</v>
      </c>
      <c r="BE24" s="2">
        <v>49.4</v>
      </c>
      <c r="BF24" s="2">
        <v>40</v>
      </c>
      <c r="BG24" s="2">
        <v>0</v>
      </c>
      <c r="BH24" s="2">
        <v>0</v>
      </c>
      <c r="BI24" s="2">
        <v>12.3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1.8</v>
      </c>
      <c r="BV24" s="2">
        <v>41.5</v>
      </c>
      <c r="BW24" s="2">
        <v>42</v>
      </c>
      <c r="BX24" s="2">
        <v>40</v>
      </c>
      <c r="BY24" s="2">
        <v>0</v>
      </c>
      <c r="BZ24" s="2">
        <v>3</v>
      </c>
      <c r="CA24" s="2">
        <v>2</v>
      </c>
      <c r="CB24" s="2">
        <v>0</v>
      </c>
      <c r="CC24" s="2">
        <v>0</v>
      </c>
      <c r="CD24" s="2">
        <v>5</v>
      </c>
      <c r="CE24" s="2">
        <v>3</v>
      </c>
      <c r="CF24" s="2">
        <v>2</v>
      </c>
      <c r="CG24" s="2">
        <v>0</v>
      </c>
      <c r="CH24" s="2" t="s">
        <v>138</v>
      </c>
      <c r="CI24" s="2">
        <v>13.8</v>
      </c>
      <c r="CJ24" s="2" t="s">
        <v>237</v>
      </c>
      <c r="CK24" s="2">
        <v>0</v>
      </c>
      <c r="CL24" s="2">
        <v>41.5</v>
      </c>
      <c r="CM24" s="2" t="s">
        <v>238</v>
      </c>
      <c r="CN24" s="2">
        <v>6.2600000000000003E-2</v>
      </c>
      <c r="CO24" s="2">
        <v>13.11</v>
      </c>
      <c r="CP24" s="2">
        <v>0</v>
      </c>
      <c r="CQ24" s="2" t="s">
        <v>137</v>
      </c>
      <c r="CR24" s="2">
        <v>0.91</v>
      </c>
      <c r="CS24" s="2">
        <v>0.90500000000000003</v>
      </c>
      <c r="CT24" s="2">
        <v>5.0000000000000036E-3</v>
      </c>
      <c r="CU24" s="2">
        <v>0.91</v>
      </c>
      <c r="CV24" s="2">
        <v>5</v>
      </c>
      <c r="CW24" s="2">
        <v>0.26389997999999998</v>
      </c>
      <c r="CX24" s="2">
        <v>3.2099999999999997E-2</v>
      </c>
      <c r="CY24" s="2">
        <v>10.7</v>
      </c>
      <c r="CZ24" s="2">
        <v>9.59</v>
      </c>
      <c r="DA24" s="2" t="s">
        <v>231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67347000</v>
      </c>
      <c r="DH24" s="2">
        <v>11.34</v>
      </c>
      <c r="DI24" s="2">
        <v>28.27</v>
      </c>
      <c r="DJ24" s="2">
        <v>69721000</v>
      </c>
      <c r="DK24" s="2">
        <v>-2374000</v>
      </c>
      <c r="DL24" s="2">
        <v>424712992</v>
      </c>
      <c r="DM24" s="2">
        <v>59900000</v>
      </c>
      <c r="DN24" s="2">
        <v>364812992</v>
      </c>
      <c r="DO24" s="2">
        <v>7.09</v>
      </c>
      <c r="DP24" s="2" t="s">
        <v>137</v>
      </c>
      <c r="DQ24" s="2" t="s">
        <v>137</v>
      </c>
      <c r="DR24" s="2" t="s">
        <v>137</v>
      </c>
      <c r="DS24" s="2">
        <v>10.7</v>
      </c>
      <c r="DT24" s="2">
        <v>9.59</v>
      </c>
      <c r="DU24" s="2" t="s">
        <v>137</v>
      </c>
      <c r="DV24" s="2" t="s">
        <v>137</v>
      </c>
      <c r="DW24" s="2">
        <v>8.82</v>
      </c>
      <c r="DX24" s="2">
        <v>0</v>
      </c>
      <c r="DY24" s="2">
        <v>0</v>
      </c>
      <c r="DZ24" s="2">
        <v>51</v>
      </c>
      <c r="EA24" s="2">
        <v>10</v>
      </c>
      <c r="EB24" s="2">
        <v>1</v>
      </c>
      <c r="EC24" s="2">
        <v>61</v>
      </c>
      <c r="ED24" s="2">
        <v>0</v>
      </c>
    </row>
    <row r="25" spans="1:134" hidden="1" x14ac:dyDescent="0.2">
      <c r="A25" s="2" t="s">
        <v>239</v>
      </c>
      <c r="B25" s="2" t="s">
        <v>240</v>
      </c>
      <c r="C25" s="2" t="s">
        <v>241</v>
      </c>
      <c r="D25" s="2" t="s">
        <v>242</v>
      </c>
      <c r="E25" s="2">
        <v>676556096</v>
      </c>
      <c r="F25" s="2">
        <v>34.99</v>
      </c>
      <c r="G25" s="2">
        <v>36.33</v>
      </c>
      <c r="H25" s="2">
        <v>36.130000000000003</v>
      </c>
      <c r="I25" s="2">
        <v>36.380000000000003</v>
      </c>
      <c r="J25" s="2">
        <v>35.9</v>
      </c>
      <c r="K25" s="2">
        <v>36.26</v>
      </c>
      <c r="L25" s="2">
        <v>36.56</v>
      </c>
      <c r="M25" s="2">
        <v>36.729999999999997</v>
      </c>
      <c r="N25" s="2">
        <v>36.81</v>
      </c>
      <c r="O25" s="2">
        <v>36.92</v>
      </c>
      <c r="P25" s="2">
        <v>1.83</v>
      </c>
      <c r="Q25" s="2">
        <v>35.81</v>
      </c>
      <c r="R25" s="2">
        <v>38.58</v>
      </c>
      <c r="S25" s="2">
        <v>37.08</v>
      </c>
      <c r="T25" s="2">
        <v>0.4</v>
      </c>
      <c r="U25" s="2">
        <v>37.1</v>
      </c>
      <c r="V25" s="2">
        <v>36.72</v>
      </c>
      <c r="W25" s="2">
        <v>35.92</v>
      </c>
      <c r="X25" s="2">
        <v>35.24</v>
      </c>
      <c r="Y25" s="2">
        <v>37.299999999999997</v>
      </c>
      <c r="Z25" s="2">
        <v>37.770000000000003</v>
      </c>
      <c r="AA25" s="2">
        <v>38.53</v>
      </c>
      <c r="AB25" s="2">
        <v>173500</v>
      </c>
      <c r="AC25" s="2">
        <v>143200</v>
      </c>
      <c r="AD25" s="2">
        <v>147100</v>
      </c>
      <c r="AE25" s="2">
        <v>118300</v>
      </c>
      <c r="AF25" s="2">
        <v>133400</v>
      </c>
      <c r="AG25" s="2">
        <f>AVERAGE(AB25:AF25)</f>
        <v>143100</v>
      </c>
      <c r="AH25" s="2">
        <v>1</v>
      </c>
      <c r="AI25" s="2">
        <v>1</v>
      </c>
      <c r="AJ25" s="2">
        <v>1</v>
      </c>
      <c r="AK25" s="2">
        <v>1</v>
      </c>
      <c r="AL25" s="2">
        <v>1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20.239999999999998</v>
      </c>
      <c r="AT25" s="2">
        <v>39.85</v>
      </c>
      <c r="AU25" s="2">
        <v>85.1</v>
      </c>
      <c r="AV25" s="2">
        <v>14.9</v>
      </c>
      <c r="AW25" s="2">
        <v>0</v>
      </c>
      <c r="AX25" s="2">
        <v>1</v>
      </c>
      <c r="AY25" s="2">
        <v>47.5</v>
      </c>
      <c r="AZ25" s="2">
        <v>47.7</v>
      </c>
      <c r="BA25" s="2">
        <v>47.3</v>
      </c>
      <c r="BB25" s="2">
        <v>49.3</v>
      </c>
      <c r="BC25" s="2">
        <v>50.1</v>
      </c>
      <c r="BD25" s="2">
        <v>0</v>
      </c>
      <c r="BE25" s="2">
        <v>53</v>
      </c>
      <c r="BF25" s="2">
        <v>49.9</v>
      </c>
      <c r="BG25" s="2">
        <v>0</v>
      </c>
      <c r="BH25" s="2">
        <v>0</v>
      </c>
      <c r="BI25" s="2">
        <v>11.3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 t="s">
        <v>137</v>
      </c>
      <c r="BV25" s="2">
        <v>42.25</v>
      </c>
      <c r="BW25" s="2">
        <v>50</v>
      </c>
      <c r="BX25" s="2">
        <v>35</v>
      </c>
      <c r="BY25" s="2">
        <v>0</v>
      </c>
      <c r="BZ25" s="2">
        <v>4</v>
      </c>
      <c r="CA25" s="2">
        <v>0</v>
      </c>
      <c r="CB25" s="2">
        <v>0</v>
      </c>
      <c r="CC25" s="2">
        <v>0</v>
      </c>
      <c r="CD25" s="2">
        <v>4</v>
      </c>
      <c r="CE25" s="2">
        <v>4</v>
      </c>
      <c r="CF25" s="2">
        <v>0</v>
      </c>
      <c r="CG25" s="2">
        <v>0</v>
      </c>
      <c r="CH25" s="2" t="s">
        <v>152</v>
      </c>
      <c r="CI25" s="2">
        <v>14.4</v>
      </c>
      <c r="CJ25" s="2" t="s">
        <v>139</v>
      </c>
      <c r="CK25" s="2">
        <v>0</v>
      </c>
      <c r="CL25" s="2">
        <v>44.67</v>
      </c>
      <c r="CM25" s="2" t="s">
        <v>243</v>
      </c>
      <c r="CN25" s="2">
        <v>7.6499999999999999E-2</v>
      </c>
      <c r="CO25" s="2">
        <v>5.87</v>
      </c>
      <c r="CP25" s="2">
        <v>0</v>
      </c>
      <c r="CQ25" s="2" t="s">
        <v>137</v>
      </c>
      <c r="CR25" s="2">
        <v>1.4450000000000001</v>
      </c>
      <c r="CS25" s="2">
        <v>1.4750000000000001</v>
      </c>
      <c r="CT25" s="2">
        <v>-3.000000000000003E-2</v>
      </c>
      <c r="CU25" s="2">
        <v>1.4450000000000001</v>
      </c>
      <c r="CV25" s="2">
        <v>4</v>
      </c>
      <c r="CW25" s="2">
        <v>4.7100000000000003E-2</v>
      </c>
      <c r="CX25" s="2">
        <v>4.9799999999999997E-2</v>
      </c>
      <c r="CY25" s="2">
        <v>7.49</v>
      </c>
      <c r="CZ25" s="2">
        <v>6</v>
      </c>
      <c r="DA25" s="2" t="s">
        <v>244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105853000</v>
      </c>
      <c r="DH25" s="2">
        <v>15.65</v>
      </c>
      <c r="DI25" s="2">
        <v>29.85</v>
      </c>
      <c r="DJ25" s="2">
        <v>136086000</v>
      </c>
      <c r="DK25" s="2">
        <v>-30233000</v>
      </c>
      <c r="DL25" s="2">
        <v>98901000</v>
      </c>
      <c r="DM25" s="2">
        <v>565936000</v>
      </c>
      <c r="DN25" s="2">
        <v>-467035000</v>
      </c>
      <c r="DO25" s="2">
        <v>0.17</v>
      </c>
      <c r="DP25" s="2">
        <v>1.9</v>
      </c>
      <c r="DQ25" s="2">
        <v>1.76</v>
      </c>
      <c r="DR25" s="2" t="s">
        <v>137</v>
      </c>
      <c r="DS25" s="2">
        <v>7.49</v>
      </c>
      <c r="DT25" s="2">
        <v>6</v>
      </c>
      <c r="DU25" s="2" t="s">
        <v>137</v>
      </c>
      <c r="DV25" s="2">
        <v>6.81</v>
      </c>
      <c r="DW25" s="2">
        <v>6.39</v>
      </c>
      <c r="DX25" s="2">
        <v>0</v>
      </c>
      <c r="DY25" s="2">
        <v>0</v>
      </c>
      <c r="DZ25" s="2">
        <v>36</v>
      </c>
      <c r="EA25" s="2">
        <v>20</v>
      </c>
      <c r="EB25" s="2">
        <v>2</v>
      </c>
      <c r="EC25" s="2">
        <v>56</v>
      </c>
      <c r="ED25" s="2">
        <v>0</v>
      </c>
    </row>
    <row r="26" spans="1:134" hidden="1" x14ac:dyDescent="0.2">
      <c r="A26" t="s">
        <v>245</v>
      </c>
      <c r="B26" t="s">
        <v>246</v>
      </c>
      <c r="C26" t="s">
        <v>135</v>
      </c>
      <c r="D26" t="s">
        <v>163</v>
      </c>
      <c r="E26">
        <v>229110160</v>
      </c>
      <c r="F26">
        <v>35.67</v>
      </c>
      <c r="G26">
        <v>35.729999999999997</v>
      </c>
      <c r="H26">
        <v>35.700000000000003</v>
      </c>
      <c r="I26">
        <v>35.58</v>
      </c>
      <c r="J26">
        <v>35.32</v>
      </c>
      <c r="K26">
        <v>35.450000000000003</v>
      </c>
      <c r="L26">
        <v>35.69</v>
      </c>
      <c r="M26">
        <v>35.18</v>
      </c>
      <c r="N26">
        <v>38.11</v>
      </c>
      <c r="O26">
        <v>35.29</v>
      </c>
      <c r="P26">
        <v>0.79</v>
      </c>
      <c r="Q26">
        <v>34.72</v>
      </c>
      <c r="R26">
        <v>36.15</v>
      </c>
      <c r="S26">
        <v>35.5</v>
      </c>
      <c r="T26">
        <v>0.6</v>
      </c>
      <c r="U26">
        <v>34.450000000000003</v>
      </c>
      <c r="V26">
        <v>35.11</v>
      </c>
      <c r="W26">
        <v>34.33</v>
      </c>
      <c r="X26">
        <v>33.93</v>
      </c>
      <c r="Y26">
        <v>36.090000000000003</v>
      </c>
      <c r="Z26">
        <v>36.72</v>
      </c>
      <c r="AA26" t="s">
        <v>137</v>
      </c>
      <c r="AB26">
        <v>21900</v>
      </c>
      <c r="AC26">
        <v>38400</v>
      </c>
      <c r="AD26">
        <v>26000</v>
      </c>
      <c r="AE26">
        <v>34900</v>
      </c>
      <c r="AF26">
        <v>60400</v>
      </c>
      <c r="AG26" s="2">
        <f>AVERAGE(AB26:AF26)</f>
        <v>36320</v>
      </c>
      <c r="AH26">
        <v>1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22.41</v>
      </c>
      <c r="AT26">
        <v>36.31</v>
      </c>
      <c r="AU26">
        <v>92.7</v>
      </c>
      <c r="AV26">
        <v>7.3</v>
      </c>
      <c r="AW26">
        <v>1</v>
      </c>
      <c r="AX26">
        <v>0</v>
      </c>
      <c r="AY26">
        <v>62.8</v>
      </c>
      <c r="AZ26">
        <v>60.2</v>
      </c>
      <c r="BA26">
        <v>58</v>
      </c>
      <c r="BB26">
        <v>53.5</v>
      </c>
      <c r="BC26">
        <v>55</v>
      </c>
      <c r="BD26">
        <v>0</v>
      </c>
      <c r="BE26">
        <v>50.7</v>
      </c>
      <c r="BF26">
        <v>65.400000000000006</v>
      </c>
      <c r="BG26">
        <v>0</v>
      </c>
      <c r="BH26">
        <v>0</v>
      </c>
      <c r="BI26">
        <v>22.4</v>
      </c>
      <c r="BJ26">
        <v>0</v>
      </c>
      <c r="BK26">
        <v>0</v>
      </c>
      <c r="BL26">
        <v>0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 t="s">
        <v>137</v>
      </c>
      <c r="BV26">
        <v>40</v>
      </c>
      <c r="BW26">
        <v>40</v>
      </c>
      <c r="BX26">
        <v>40</v>
      </c>
      <c r="BY26">
        <v>1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1</v>
      </c>
      <c r="CF26">
        <v>0</v>
      </c>
      <c r="CG26">
        <v>0</v>
      </c>
      <c r="CH26" t="s">
        <v>152</v>
      </c>
      <c r="CI26">
        <v>13.3</v>
      </c>
      <c r="CJ26" t="s">
        <v>139</v>
      </c>
      <c r="CK26">
        <v>0</v>
      </c>
      <c r="CL26">
        <v>40</v>
      </c>
      <c r="CM26" t="s">
        <v>247</v>
      </c>
      <c r="CN26">
        <v>2.1399999999999999E-2</v>
      </c>
      <c r="CO26">
        <v>2.29</v>
      </c>
      <c r="CP26">
        <v>0</v>
      </c>
      <c r="CQ26" t="s">
        <v>137</v>
      </c>
      <c r="CR26">
        <v>0.91</v>
      </c>
      <c r="CS26">
        <v>0.95</v>
      </c>
      <c r="CT26">
        <v>-3.9999999999999918E-2</v>
      </c>
      <c r="CU26">
        <v>0.91</v>
      </c>
      <c r="CV26">
        <v>1</v>
      </c>
      <c r="CW26">
        <v>1.5278</v>
      </c>
      <c r="CX26">
        <v>0.32340000000000002</v>
      </c>
      <c r="CY26">
        <v>12.13</v>
      </c>
      <c r="CZ26">
        <v>8.4</v>
      </c>
      <c r="DA26" t="s">
        <v>201</v>
      </c>
      <c r="DB26">
        <v>0</v>
      </c>
      <c r="DC26">
        <v>0</v>
      </c>
      <c r="DD26">
        <v>1</v>
      </c>
      <c r="DE26">
        <v>0</v>
      </c>
      <c r="DF26">
        <v>0</v>
      </c>
      <c r="DG26">
        <v>18201000</v>
      </c>
      <c r="DH26">
        <v>7.94</v>
      </c>
      <c r="DI26">
        <v>33.200000000000003</v>
      </c>
      <c r="DJ26">
        <v>18688000</v>
      </c>
      <c r="DK26">
        <v>-487000</v>
      </c>
      <c r="DL26">
        <v>256667008</v>
      </c>
      <c r="DM26">
        <v>123670000</v>
      </c>
      <c r="DN26">
        <v>132997008</v>
      </c>
      <c r="DO26">
        <v>2.08</v>
      </c>
      <c r="DP26" t="s">
        <v>137</v>
      </c>
      <c r="DQ26" t="s">
        <v>137</v>
      </c>
      <c r="DR26" t="s">
        <v>137</v>
      </c>
      <c r="DS26">
        <v>12.13</v>
      </c>
      <c r="DT26">
        <v>8.4</v>
      </c>
      <c r="DU26" t="s">
        <v>137</v>
      </c>
      <c r="DV26" t="s">
        <v>137</v>
      </c>
      <c r="DW26">
        <v>12.59</v>
      </c>
      <c r="DX26">
        <v>1.23</v>
      </c>
      <c r="DY26">
        <v>0</v>
      </c>
      <c r="DZ26">
        <v>36</v>
      </c>
      <c r="EA26">
        <v>10</v>
      </c>
      <c r="EB26">
        <v>1</v>
      </c>
      <c r="EC26">
        <v>46</v>
      </c>
      <c r="ED26">
        <v>0</v>
      </c>
    </row>
    <row r="27" spans="1:134" hidden="1" x14ac:dyDescent="0.2">
      <c r="A27" s="2" t="s">
        <v>248</v>
      </c>
      <c r="B27" s="2" t="s">
        <v>249</v>
      </c>
      <c r="C27" s="2" t="s">
        <v>135</v>
      </c>
      <c r="D27" s="2" t="s">
        <v>163</v>
      </c>
      <c r="E27" s="2">
        <v>1099221760</v>
      </c>
      <c r="F27" s="2">
        <v>8.84</v>
      </c>
      <c r="G27" s="2">
        <v>8.8000000000000007</v>
      </c>
      <c r="H27" s="2">
        <v>8.73</v>
      </c>
      <c r="I27" s="2">
        <v>8.77</v>
      </c>
      <c r="J27" s="2">
        <v>8.73</v>
      </c>
      <c r="K27" s="2">
        <v>8.8000000000000007</v>
      </c>
      <c r="L27" s="2">
        <v>8.8800000000000008</v>
      </c>
      <c r="M27" s="2">
        <v>8.82</v>
      </c>
      <c r="N27" s="2">
        <v>8.7899999999999991</v>
      </c>
      <c r="O27" s="2">
        <v>8.91</v>
      </c>
      <c r="P27" s="2">
        <v>0.15</v>
      </c>
      <c r="Q27" s="2">
        <v>8.69</v>
      </c>
      <c r="R27" s="2">
        <v>9.24</v>
      </c>
      <c r="S27" s="2">
        <v>8.91</v>
      </c>
      <c r="T27" s="2">
        <v>0.1</v>
      </c>
      <c r="U27" s="2">
        <v>8.69</v>
      </c>
      <c r="V27" s="2">
        <v>8.76</v>
      </c>
      <c r="W27" s="2">
        <v>8.67</v>
      </c>
      <c r="X27" s="2">
        <v>8.43</v>
      </c>
      <c r="Y27" s="2">
        <v>8.99</v>
      </c>
      <c r="Z27" s="2">
        <v>9.26</v>
      </c>
      <c r="AA27" s="2" t="s">
        <v>137</v>
      </c>
      <c r="AB27" s="2">
        <v>695300</v>
      </c>
      <c r="AC27" s="2">
        <v>782200</v>
      </c>
      <c r="AD27" s="2">
        <v>593300</v>
      </c>
      <c r="AE27" s="2">
        <v>672400</v>
      </c>
      <c r="AF27" s="2">
        <v>835100</v>
      </c>
      <c r="AG27" s="2">
        <f>AVERAGE(AB27:AF27)</f>
        <v>715660</v>
      </c>
      <c r="AH27" s="2">
        <v>0</v>
      </c>
      <c r="AI27" s="2">
        <v>1</v>
      </c>
      <c r="AJ27" s="2">
        <v>1</v>
      </c>
      <c r="AK27" s="2">
        <v>0</v>
      </c>
      <c r="AL27" s="2">
        <v>1</v>
      </c>
      <c r="AM27" s="2">
        <v>0</v>
      </c>
      <c r="AN27" s="2">
        <v>0</v>
      </c>
      <c r="AO27" s="2">
        <v>1</v>
      </c>
      <c r="AP27" s="2">
        <v>0</v>
      </c>
      <c r="AQ27" s="2">
        <v>1</v>
      </c>
      <c r="AR27" s="2">
        <v>1</v>
      </c>
      <c r="AS27" s="2">
        <v>6.02</v>
      </c>
      <c r="AT27" s="2">
        <v>9.19</v>
      </c>
      <c r="AU27" s="2">
        <v>91.2</v>
      </c>
      <c r="AV27" s="2">
        <v>8.8000000000000007</v>
      </c>
      <c r="AW27" s="2">
        <v>1</v>
      </c>
      <c r="AX27" s="2">
        <v>1</v>
      </c>
      <c r="AY27" s="2">
        <v>56.3</v>
      </c>
      <c r="AZ27" s="2">
        <v>54.5</v>
      </c>
      <c r="BA27" s="2">
        <v>56</v>
      </c>
      <c r="BB27" s="2">
        <v>57</v>
      </c>
      <c r="BC27" s="2">
        <v>61.3</v>
      </c>
      <c r="BD27" s="2">
        <v>0</v>
      </c>
      <c r="BE27" s="2">
        <v>85</v>
      </c>
      <c r="BF27" s="2">
        <v>78.2</v>
      </c>
      <c r="BG27" s="2">
        <v>0</v>
      </c>
      <c r="BH27" s="2">
        <v>0</v>
      </c>
      <c r="BI27" s="2">
        <v>11.7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1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 t="s">
        <v>137</v>
      </c>
      <c r="BV27" s="2">
        <v>9.5</v>
      </c>
      <c r="BW27" s="2">
        <v>10</v>
      </c>
      <c r="BX27" s="2">
        <v>9</v>
      </c>
      <c r="BY27" s="2">
        <v>0</v>
      </c>
      <c r="BZ27" s="2">
        <v>1</v>
      </c>
      <c r="CA27" s="2">
        <v>2</v>
      </c>
      <c r="CB27" s="2">
        <v>0</v>
      </c>
      <c r="CC27" s="2">
        <v>0</v>
      </c>
      <c r="CD27" s="2">
        <v>3</v>
      </c>
      <c r="CE27" s="2">
        <v>1</v>
      </c>
      <c r="CF27" s="2">
        <v>2</v>
      </c>
      <c r="CG27" s="2">
        <v>0</v>
      </c>
      <c r="CH27" s="2" t="s">
        <v>152</v>
      </c>
      <c r="CI27" s="2">
        <v>6.6</v>
      </c>
      <c r="CJ27" s="2" t="s">
        <v>139</v>
      </c>
      <c r="CK27" s="2">
        <v>1</v>
      </c>
      <c r="CL27" s="2">
        <v>9.5</v>
      </c>
      <c r="CM27" s="2" t="s">
        <v>250</v>
      </c>
      <c r="CN27" s="2">
        <v>7.3499999999999996E-2</v>
      </c>
      <c r="CO27" s="2">
        <v>8.08</v>
      </c>
      <c r="CP27" s="2">
        <v>1</v>
      </c>
      <c r="CQ27" s="2" t="s">
        <v>137</v>
      </c>
      <c r="CR27" s="2">
        <v>0.18332999999999999</v>
      </c>
      <c r="CS27" s="2">
        <v>0.185</v>
      </c>
      <c r="CT27" s="2">
        <v>-1.670000000000005E-3</v>
      </c>
      <c r="CU27" s="2">
        <v>0.18332999999999999</v>
      </c>
      <c r="CV27" s="2">
        <v>3</v>
      </c>
      <c r="CW27" s="2">
        <v>0.3095</v>
      </c>
      <c r="CX27" s="2">
        <v>0.31730000000000003</v>
      </c>
      <c r="CY27" s="2">
        <v>13.71</v>
      </c>
      <c r="CZ27" s="2">
        <v>11.5</v>
      </c>
      <c r="DA27" s="2" t="s">
        <v>160</v>
      </c>
      <c r="DB27" s="2">
        <v>0</v>
      </c>
      <c r="DC27" s="2">
        <v>1</v>
      </c>
      <c r="DD27" s="2">
        <v>2.5</v>
      </c>
      <c r="DE27" s="2">
        <v>0</v>
      </c>
      <c r="DF27" s="2">
        <v>0</v>
      </c>
      <c r="DG27" s="2">
        <v>49839000</v>
      </c>
      <c r="DH27" s="2">
        <v>4.53</v>
      </c>
      <c r="DI27" s="2">
        <v>22.08</v>
      </c>
      <c r="DJ27" s="2">
        <v>55041000</v>
      </c>
      <c r="DK27" s="2">
        <v>-5202000</v>
      </c>
      <c r="DL27" s="2">
        <v>137948992</v>
      </c>
      <c r="DM27" s="2">
        <v>1636246016</v>
      </c>
      <c r="DN27" s="2">
        <v>-1498297024</v>
      </c>
      <c r="DO27" s="2">
        <v>0.08</v>
      </c>
      <c r="DP27" s="2" t="s">
        <v>137</v>
      </c>
      <c r="DQ27" s="2" t="s">
        <v>137</v>
      </c>
      <c r="DR27" s="2">
        <v>4.09</v>
      </c>
      <c r="DS27" s="2">
        <v>13.71</v>
      </c>
      <c r="DT27" s="2">
        <v>11.5</v>
      </c>
      <c r="DU27" s="2">
        <v>4.09</v>
      </c>
      <c r="DV27" s="2" t="s">
        <v>137</v>
      </c>
      <c r="DW27" s="2">
        <v>22.06</v>
      </c>
      <c r="DX27" s="2">
        <v>0</v>
      </c>
      <c r="DY27" s="2">
        <v>0</v>
      </c>
      <c r="DZ27" s="2">
        <v>33</v>
      </c>
      <c r="EA27" s="2">
        <v>10</v>
      </c>
      <c r="EB27" s="2">
        <v>1</v>
      </c>
      <c r="EC27" s="2">
        <v>43</v>
      </c>
      <c r="ED27" s="2">
        <v>0</v>
      </c>
    </row>
    <row r="28" spans="1:134" hidden="1" x14ac:dyDescent="0.2">
      <c r="A28" s="2" t="s">
        <v>251</v>
      </c>
      <c r="B28" s="2" t="s">
        <v>252</v>
      </c>
      <c r="C28" s="2" t="s">
        <v>135</v>
      </c>
      <c r="D28" s="2" t="s">
        <v>163</v>
      </c>
      <c r="E28" s="2">
        <v>1603189888</v>
      </c>
      <c r="F28" s="2">
        <v>32.299999999999997</v>
      </c>
      <c r="G28" s="2">
        <v>31.86</v>
      </c>
      <c r="H28" s="2">
        <v>31.62</v>
      </c>
      <c r="I28" s="2">
        <v>31.59</v>
      </c>
      <c r="J28" s="2">
        <v>31.45</v>
      </c>
      <c r="K28" s="2">
        <v>31.59</v>
      </c>
      <c r="L28" s="2">
        <v>31.99</v>
      </c>
      <c r="M28" s="2">
        <v>31.8</v>
      </c>
      <c r="N28" s="2">
        <v>31.75</v>
      </c>
      <c r="O28" s="2">
        <v>31.86</v>
      </c>
      <c r="P28" s="2">
        <v>0.55000000000000004</v>
      </c>
      <c r="Q28" s="2">
        <v>31.02</v>
      </c>
      <c r="R28" s="2">
        <v>33.119999999999997</v>
      </c>
      <c r="S28" s="2">
        <v>31.88</v>
      </c>
      <c r="T28" s="2">
        <v>0</v>
      </c>
      <c r="U28" s="2">
        <v>32.5</v>
      </c>
      <c r="V28" s="2">
        <v>31.29</v>
      </c>
      <c r="W28" s="2">
        <v>30.7</v>
      </c>
      <c r="X28" s="2">
        <v>29.31</v>
      </c>
      <c r="Y28" s="2">
        <v>32.54</v>
      </c>
      <c r="Z28" s="2">
        <v>33.119999999999997</v>
      </c>
      <c r="AA28" s="2">
        <v>33.61</v>
      </c>
      <c r="AB28" s="2">
        <v>217100</v>
      </c>
      <c r="AC28" s="2">
        <v>217700</v>
      </c>
      <c r="AD28" s="2">
        <v>417100</v>
      </c>
      <c r="AE28" s="2">
        <v>307200</v>
      </c>
      <c r="AF28" s="2">
        <v>394600</v>
      </c>
      <c r="AG28" s="2">
        <f>AVERAGE(AB28:AF28)</f>
        <v>310740</v>
      </c>
      <c r="AH28" s="2">
        <v>0</v>
      </c>
      <c r="AI28" s="2">
        <v>0</v>
      </c>
      <c r="AJ28" s="2">
        <v>1</v>
      </c>
      <c r="AK28" s="2">
        <v>0</v>
      </c>
      <c r="AL28" s="2">
        <v>1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23.29</v>
      </c>
      <c r="AT28" s="2">
        <v>34.11</v>
      </c>
      <c r="AU28" s="2">
        <v>79.2</v>
      </c>
      <c r="AV28" s="2">
        <v>20.8</v>
      </c>
      <c r="AW28" s="2">
        <v>0</v>
      </c>
      <c r="AX28" s="2">
        <v>1</v>
      </c>
      <c r="AY28" s="2">
        <v>45.7</v>
      </c>
      <c r="AZ28" s="2">
        <v>43</v>
      </c>
      <c r="BA28" s="2">
        <v>43</v>
      </c>
      <c r="BB28" s="2">
        <v>45.9</v>
      </c>
      <c r="BC28" s="2">
        <v>46.7</v>
      </c>
      <c r="BD28" s="2">
        <v>0</v>
      </c>
      <c r="BE28" s="2">
        <v>73.7</v>
      </c>
      <c r="BF28" s="2">
        <v>69.599999999999994</v>
      </c>
      <c r="BG28" s="2">
        <v>0</v>
      </c>
      <c r="BH28" s="2">
        <v>1</v>
      </c>
      <c r="BI28" s="2">
        <v>16.399999999999999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 t="s">
        <v>137</v>
      </c>
      <c r="BV28" s="2">
        <v>36.75</v>
      </c>
      <c r="BW28" s="2">
        <v>38</v>
      </c>
      <c r="BX28" s="2">
        <v>35</v>
      </c>
      <c r="BY28" s="2">
        <v>2</v>
      </c>
      <c r="BZ28" s="2">
        <v>2</v>
      </c>
      <c r="CA28" s="2">
        <v>1</v>
      </c>
      <c r="CB28" s="2">
        <v>0</v>
      </c>
      <c r="CC28" s="2">
        <v>0</v>
      </c>
      <c r="CD28" s="2">
        <v>5</v>
      </c>
      <c r="CE28" s="2">
        <v>4</v>
      </c>
      <c r="CF28" s="2">
        <v>1</v>
      </c>
      <c r="CG28" s="2">
        <v>0</v>
      </c>
      <c r="CH28" s="2" t="s">
        <v>152</v>
      </c>
      <c r="CI28" s="2">
        <v>15.3</v>
      </c>
      <c r="CJ28" s="2" t="s">
        <v>139</v>
      </c>
      <c r="CK28" s="2">
        <v>1</v>
      </c>
      <c r="CL28" s="2">
        <v>36.75</v>
      </c>
      <c r="CM28" s="2" t="s">
        <v>253</v>
      </c>
      <c r="CN28" s="2">
        <v>3.3500000000000002E-2</v>
      </c>
      <c r="CO28" s="2">
        <v>4.62</v>
      </c>
      <c r="CP28" s="2">
        <v>3</v>
      </c>
      <c r="CQ28" s="2" t="s">
        <v>137</v>
      </c>
      <c r="CR28" s="2">
        <v>0.85599999999999998</v>
      </c>
      <c r="CS28" s="2">
        <v>0.85199999999999998</v>
      </c>
      <c r="CT28" s="2">
        <v>4.0000000000000044E-3</v>
      </c>
      <c r="CU28" s="2">
        <v>0.85599999999999998</v>
      </c>
      <c r="CV28" s="2">
        <v>5</v>
      </c>
      <c r="CW28" s="2">
        <v>0.22289999999999999</v>
      </c>
      <c r="CX28" s="2">
        <v>0.2656</v>
      </c>
      <c r="CY28" s="2">
        <v>9.89</v>
      </c>
      <c r="CZ28" s="2">
        <v>8.69</v>
      </c>
      <c r="DA28" s="2" t="s">
        <v>165</v>
      </c>
      <c r="DB28" s="2">
        <v>0</v>
      </c>
      <c r="DC28" s="2">
        <v>0</v>
      </c>
      <c r="DD28" s="2">
        <v>1</v>
      </c>
      <c r="DE28" s="2">
        <v>0</v>
      </c>
      <c r="DF28" s="2">
        <v>0</v>
      </c>
      <c r="DG28" s="2">
        <v>101009000</v>
      </c>
      <c r="DH28" s="2">
        <v>6.3</v>
      </c>
      <c r="DI28" s="2">
        <v>22.79</v>
      </c>
      <c r="DJ28" s="2">
        <v>106398000</v>
      </c>
      <c r="DK28" s="2">
        <v>-5389000</v>
      </c>
      <c r="DL28" s="2">
        <v>380585984</v>
      </c>
      <c r="DM28" s="2">
        <v>951038016</v>
      </c>
      <c r="DN28" s="2">
        <v>-570452032</v>
      </c>
      <c r="DO28" s="2">
        <v>0.4</v>
      </c>
      <c r="DP28" s="2" t="s">
        <v>137</v>
      </c>
      <c r="DQ28" s="2" t="s">
        <v>137</v>
      </c>
      <c r="DR28" s="2" t="s">
        <v>137</v>
      </c>
      <c r="DS28" s="2">
        <v>9.89</v>
      </c>
      <c r="DT28" s="2">
        <v>8.69</v>
      </c>
      <c r="DU28" s="2" t="s">
        <v>137</v>
      </c>
      <c r="DV28" s="2" t="s">
        <v>137</v>
      </c>
      <c r="DW28" s="2">
        <v>15.87</v>
      </c>
      <c r="DX28" s="2">
        <v>0</v>
      </c>
      <c r="DY28" s="2">
        <v>0</v>
      </c>
      <c r="DZ28" s="2">
        <v>36</v>
      </c>
      <c r="EA28" s="2">
        <v>10</v>
      </c>
      <c r="EB28" s="2">
        <v>1</v>
      </c>
      <c r="EC28" s="2">
        <v>46</v>
      </c>
      <c r="ED28" s="2">
        <v>0</v>
      </c>
    </row>
    <row r="29" spans="1:134" hidden="1" x14ac:dyDescent="0.2">
      <c r="A29" s="2" t="s">
        <v>254</v>
      </c>
      <c r="B29" s="2" t="s">
        <v>255</v>
      </c>
      <c r="C29" s="2" t="s">
        <v>135</v>
      </c>
      <c r="D29" s="2" t="s">
        <v>163</v>
      </c>
      <c r="E29" s="2">
        <v>329225440</v>
      </c>
      <c r="F29" s="2">
        <v>28.07</v>
      </c>
      <c r="G29" s="2">
        <v>27.77</v>
      </c>
      <c r="H29" s="2">
        <v>27.55</v>
      </c>
      <c r="I29" s="2">
        <v>27.4</v>
      </c>
      <c r="J29" s="2">
        <v>27.31</v>
      </c>
      <c r="K29" s="2">
        <v>27.57</v>
      </c>
      <c r="L29" s="2">
        <v>27.58</v>
      </c>
      <c r="M29" s="2">
        <v>27.48</v>
      </c>
      <c r="N29" s="2">
        <v>27.43</v>
      </c>
      <c r="O29" s="2">
        <v>27.54</v>
      </c>
      <c r="P29" s="2">
        <v>0.5</v>
      </c>
      <c r="Q29" s="2">
        <v>26.81</v>
      </c>
      <c r="R29" s="2">
        <v>28.64</v>
      </c>
      <c r="S29" s="2">
        <v>27.52</v>
      </c>
      <c r="T29" s="2">
        <v>-0.1</v>
      </c>
      <c r="U29" s="2">
        <v>27.26</v>
      </c>
      <c r="V29" s="2">
        <v>27.06</v>
      </c>
      <c r="W29" s="2">
        <v>26.62</v>
      </c>
      <c r="X29" s="2">
        <v>26.14</v>
      </c>
      <c r="Y29" s="2">
        <v>27.6</v>
      </c>
      <c r="Z29" s="2">
        <v>27.98</v>
      </c>
      <c r="AA29" s="2">
        <v>28.44</v>
      </c>
      <c r="AB29" s="2">
        <v>70000</v>
      </c>
      <c r="AC29" s="2">
        <v>78600</v>
      </c>
      <c r="AD29" s="2">
        <v>96400</v>
      </c>
      <c r="AE29" s="2">
        <v>109300</v>
      </c>
      <c r="AF29" s="2">
        <v>157600</v>
      </c>
      <c r="AG29" s="2">
        <f>AVERAGE(AB29:AF29)</f>
        <v>102380</v>
      </c>
      <c r="AH29" s="2">
        <v>0</v>
      </c>
      <c r="AI29" s="2">
        <v>0</v>
      </c>
      <c r="AJ29" s="2">
        <v>1</v>
      </c>
      <c r="AK29" s="2">
        <v>0</v>
      </c>
      <c r="AL29" s="2">
        <v>1</v>
      </c>
      <c r="AM29" s="2">
        <v>0</v>
      </c>
      <c r="AN29" s="2">
        <v>0</v>
      </c>
      <c r="AO29" s="2">
        <v>1</v>
      </c>
      <c r="AP29" s="2">
        <v>0</v>
      </c>
      <c r="AQ29" s="2">
        <v>0</v>
      </c>
      <c r="AR29" s="2">
        <v>1</v>
      </c>
      <c r="AS29" s="2">
        <v>21.09</v>
      </c>
      <c r="AT29" s="2">
        <v>28.04</v>
      </c>
      <c r="AU29" s="2">
        <v>92.8</v>
      </c>
      <c r="AV29" s="2">
        <v>7.2</v>
      </c>
      <c r="AW29" s="2">
        <v>1</v>
      </c>
      <c r="AX29" s="2">
        <v>0</v>
      </c>
      <c r="AY29" s="2">
        <v>56.6</v>
      </c>
      <c r="AZ29" s="2">
        <v>49.3</v>
      </c>
      <c r="BA29" s="2">
        <v>52.3</v>
      </c>
      <c r="BB29" s="2">
        <v>50.6</v>
      </c>
      <c r="BC29" s="2">
        <v>51.7</v>
      </c>
      <c r="BD29" s="2">
        <v>0</v>
      </c>
      <c r="BE29" s="2">
        <v>40.299999999999997</v>
      </c>
      <c r="BF29" s="2">
        <v>41.5</v>
      </c>
      <c r="BG29" s="2">
        <v>0</v>
      </c>
      <c r="BH29" s="2">
        <v>0</v>
      </c>
      <c r="BI29" s="2">
        <v>15.6</v>
      </c>
      <c r="BJ29" s="2">
        <v>0</v>
      </c>
      <c r="BK29" s="2">
        <v>0</v>
      </c>
      <c r="BL29" s="2">
        <v>0</v>
      </c>
      <c r="BM29" s="2">
        <v>1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 t="s">
        <v>137</v>
      </c>
      <c r="BV29" s="2">
        <v>31</v>
      </c>
      <c r="BW29" s="2">
        <v>31</v>
      </c>
      <c r="BX29" s="2">
        <v>31</v>
      </c>
      <c r="BY29" s="2">
        <v>1</v>
      </c>
      <c r="BZ29" s="2">
        <v>1</v>
      </c>
      <c r="CA29" s="2">
        <v>0</v>
      </c>
      <c r="CB29" s="2">
        <v>0</v>
      </c>
      <c r="CC29" s="2">
        <v>0</v>
      </c>
      <c r="CD29" s="2">
        <v>2</v>
      </c>
      <c r="CE29" s="2">
        <v>2</v>
      </c>
      <c r="CF29" s="2">
        <v>0</v>
      </c>
      <c r="CG29" s="2">
        <v>0</v>
      </c>
      <c r="CH29" s="2" t="s">
        <v>152</v>
      </c>
      <c r="CI29" s="2">
        <v>12.6</v>
      </c>
      <c r="CJ29" s="2" t="s">
        <v>139</v>
      </c>
      <c r="CK29" s="2">
        <v>1</v>
      </c>
      <c r="CL29" s="2">
        <v>31</v>
      </c>
      <c r="CM29" s="2" t="s">
        <v>256</v>
      </c>
      <c r="CN29" s="2">
        <v>1.47E-2</v>
      </c>
      <c r="CO29" s="2">
        <v>1.72</v>
      </c>
      <c r="CP29" s="2">
        <v>1</v>
      </c>
      <c r="CQ29" s="2" t="s">
        <v>137</v>
      </c>
      <c r="CR29" s="2">
        <v>0.6</v>
      </c>
      <c r="CS29" s="2">
        <v>0.6</v>
      </c>
      <c r="CT29" s="2">
        <v>0</v>
      </c>
      <c r="CU29" s="2">
        <v>0.6</v>
      </c>
      <c r="CV29" s="2">
        <v>2</v>
      </c>
      <c r="CW29" s="2">
        <v>0.11109999600000001</v>
      </c>
      <c r="CX29" s="2">
        <v>7.1800000000000003E-2</v>
      </c>
      <c r="CY29" s="2">
        <v>12.41</v>
      </c>
      <c r="CZ29" s="2">
        <v>10.8</v>
      </c>
      <c r="DA29" s="2" t="s">
        <v>257</v>
      </c>
      <c r="DB29" s="2">
        <v>0</v>
      </c>
      <c r="DC29" s="2">
        <v>0</v>
      </c>
      <c r="DD29" s="2">
        <v>1</v>
      </c>
      <c r="DE29" s="2">
        <v>0</v>
      </c>
      <c r="DF29" s="2">
        <v>0</v>
      </c>
      <c r="DG29" s="2">
        <v>61298000</v>
      </c>
      <c r="DH29" s="2">
        <v>18.62</v>
      </c>
      <c r="DI29" s="2">
        <v>71.97</v>
      </c>
      <c r="DJ29" s="2">
        <v>63128000</v>
      </c>
      <c r="DK29" s="2">
        <v>-1830000</v>
      </c>
      <c r="DL29" s="2">
        <v>39783000</v>
      </c>
      <c r="DM29" s="2">
        <v>81937000</v>
      </c>
      <c r="DN29" s="2">
        <v>-42154000</v>
      </c>
      <c r="DO29" s="2">
        <v>0.49</v>
      </c>
      <c r="DP29" s="2" t="s">
        <v>137</v>
      </c>
      <c r="DQ29" s="2" t="s">
        <v>137</v>
      </c>
      <c r="DR29" s="2" t="s">
        <v>137</v>
      </c>
      <c r="DS29" s="2">
        <v>12.41</v>
      </c>
      <c r="DT29" s="2">
        <v>10.8</v>
      </c>
      <c r="DU29" s="2" t="s">
        <v>137</v>
      </c>
      <c r="DV29" s="2" t="s">
        <v>137</v>
      </c>
      <c r="DW29" s="2">
        <v>5.37</v>
      </c>
      <c r="DX29" s="2">
        <v>0.83</v>
      </c>
      <c r="DY29" s="2">
        <v>0</v>
      </c>
      <c r="DZ29" s="2">
        <v>33</v>
      </c>
      <c r="EA29" s="2">
        <v>10</v>
      </c>
      <c r="EB29" s="2">
        <v>1</v>
      </c>
      <c r="EC29" s="2">
        <v>43</v>
      </c>
      <c r="ED29" s="2">
        <v>0</v>
      </c>
    </row>
    <row r="30" spans="1:134" hidden="1" x14ac:dyDescent="0.2">
      <c r="A30" t="s">
        <v>258</v>
      </c>
      <c r="B30" t="s">
        <v>259</v>
      </c>
      <c r="C30" t="s">
        <v>135</v>
      </c>
      <c r="D30" t="s">
        <v>163</v>
      </c>
      <c r="E30">
        <v>974025408</v>
      </c>
      <c r="F30">
        <v>38.19</v>
      </c>
      <c r="G30">
        <v>37.69</v>
      </c>
      <c r="H30">
        <v>37.51</v>
      </c>
      <c r="I30">
        <v>37.380000000000003</v>
      </c>
      <c r="J30">
        <v>37.46</v>
      </c>
      <c r="K30">
        <v>37.75</v>
      </c>
      <c r="L30">
        <v>37.85</v>
      </c>
      <c r="M30">
        <v>37.83</v>
      </c>
      <c r="N30">
        <v>37.96</v>
      </c>
      <c r="O30">
        <v>37.83</v>
      </c>
      <c r="P30">
        <v>0.77</v>
      </c>
      <c r="Q30">
        <v>37.44</v>
      </c>
      <c r="R30">
        <v>38.42</v>
      </c>
      <c r="S30">
        <v>37.83</v>
      </c>
      <c r="T30">
        <v>0</v>
      </c>
      <c r="U30">
        <v>38.409999999999997</v>
      </c>
      <c r="V30">
        <v>37.82</v>
      </c>
      <c r="W30">
        <v>37.24</v>
      </c>
      <c r="X30">
        <v>36.85</v>
      </c>
      <c r="Y30">
        <v>38.26</v>
      </c>
      <c r="Z30">
        <v>39.35</v>
      </c>
      <c r="AA30">
        <v>40.19</v>
      </c>
      <c r="AB30">
        <v>124900</v>
      </c>
      <c r="AC30">
        <v>106700</v>
      </c>
      <c r="AD30">
        <v>117300</v>
      </c>
      <c r="AE30">
        <v>146200</v>
      </c>
      <c r="AF30">
        <v>227900</v>
      </c>
      <c r="AG30" s="2">
        <f>AVERAGE(AB30:AF30)</f>
        <v>144600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27.59</v>
      </c>
      <c r="AT30">
        <v>39.99</v>
      </c>
      <c r="AU30">
        <v>82.6</v>
      </c>
      <c r="AV30">
        <v>17.399999999999999</v>
      </c>
      <c r="AW30">
        <v>1</v>
      </c>
      <c r="AX30">
        <v>0</v>
      </c>
      <c r="AY30">
        <v>46.7</v>
      </c>
      <c r="AZ30">
        <v>43.7</v>
      </c>
      <c r="BA30">
        <v>48</v>
      </c>
      <c r="BB30">
        <v>48.9</v>
      </c>
      <c r="BC30">
        <v>48.9</v>
      </c>
      <c r="BD30">
        <v>0</v>
      </c>
      <c r="BE30">
        <v>78.7</v>
      </c>
      <c r="BF30">
        <v>70.400000000000006</v>
      </c>
      <c r="BG30">
        <v>0</v>
      </c>
      <c r="BH30">
        <v>0</v>
      </c>
      <c r="BI30">
        <v>17.600000000000001</v>
      </c>
      <c r="BJ30">
        <v>0</v>
      </c>
      <c r="BK30">
        <v>0</v>
      </c>
      <c r="BL30">
        <v>0</v>
      </c>
      <c r="BM30">
        <v>1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2.25</v>
      </c>
      <c r="BV30">
        <v>43</v>
      </c>
      <c r="BW30">
        <v>44</v>
      </c>
      <c r="BX30">
        <v>42</v>
      </c>
      <c r="BY30">
        <v>1</v>
      </c>
      <c r="BZ30">
        <v>1</v>
      </c>
      <c r="CA30">
        <v>2</v>
      </c>
      <c r="CB30">
        <v>0</v>
      </c>
      <c r="CC30">
        <v>0</v>
      </c>
      <c r="CD30">
        <v>4</v>
      </c>
      <c r="CE30">
        <v>2</v>
      </c>
      <c r="CF30">
        <v>2</v>
      </c>
      <c r="CG30">
        <v>0</v>
      </c>
      <c r="CH30" t="s">
        <v>138</v>
      </c>
      <c r="CI30">
        <v>13.7</v>
      </c>
      <c r="CJ30" t="s">
        <v>139</v>
      </c>
      <c r="CK30">
        <v>1</v>
      </c>
      <c r="CL30">
        <v>43</v>
      </c>
      <c r="CM30" t="s">
        <v>260</v>
      </c>
      <c r="CN30">
        <v>2.9100000000000001E-2</v>
      </c>
      <c r="CO30">
        <v>4.1900000000000004</v>
      </c>
      <c r="CP30">
        <v>1</v>
      </c>
      <c r="CQ30" t="s">
        <v>137</v>
      </c>
      <c r="CR30">
        <v>0.85</v>
      </c>
      <c r="CS30">
        <v>0.85</v>
      </c>
      <c r="CT30">
        <v>0</v>
      </c>
      <c r="CU30">
        <v>0.85</v>
      </c>
      <c r="CV30">
        <v>4</v>
      </c>
      <c r="CW30">
        <v>0.16440001000000001</v>
      </c>
      <c r="CX30">
        <v>0.1246</v>
      </c>
      <c r="CY30">
        <v>12.16</v>
      </c>
      <c r="CZ30">
        <v>10.58</v>
      </c>
      <c r="DA30" t="s">
        <v>160</v>
      </c>
      <c r="DB30">
        <v>0</v>
      </c>
      <c r="DC30">
        <v>0</v>
      </c>
      <c r="DD30">
        <v>1</v>
      </c>
      <c r="DE30">
        <v>0</v>
      </c>
      <c r="DF30">
        <v>0</v>
      </c>
      <c r="DG30">
        <v>92303000</v>
      </c>
      <c r="DH30">
        <v>9.48</v>
      </c>
      <c r="DI30">
        <v>32.03</v>
      </c>
      <c r="DJ30">
        <v>97465000</v>
      </c>
      <c r="DK30">
        <v>-5162000</v>
      </c>
      <c r="DL30">
        <v>391391008</v>
      </c>
      <c r="DM30">
        <v>103493000</v>
      </c>
      <c r="DN30">
        <v>287898008</v>
      </c>
      <c r="DO30">
        <v>3.78</v>
      </c>
      <c r="DP30" t="s">
        <v>137</v>
      </c>
      <c r="DQ30" t="s">
        <v>137</v>
      </c>
      <c r="DR30">
        <v>1.97</v>
      </c>
      <c r="DS30">
        <v>12.16</v>
      </c>
      <c r="DT30">
        <v>10.58</v>
      </c>
      <c r="DU30">
        <v>1.97</v>
      </c>
      <c r="DV30" t="s">
        <v>137</v>
      </c>
      <c r="DW30">
        <v>10.55</v>
      </c>
      <c r="DX30">
        <v>0</v>
      </c>
      <c r="DY30">
        <v>0</v>
      </c>
      <c r="DZ30">
        <v>48</v>
      </c>
      <c r="EA30">
        <v>10</v>
      </c>
      <c r="EB30">
        <v>1</v>
      </c>
      <c r="EC30">
        <v>58</v>
      </c>
      <c r="ED30">
        <v>0</v>
      </c>
    </row>
    <row r="31" spans="1:134" hidden="1" x14ac:dyDescent="0.2">
      <c r="A31" t="s">
        <v>261</v>
      </c>
      <c r="B31" t="s">
        <v>262</v>
      </c>
      <c r="C31" t="s">
        <v>157</v>
      </c>
      <c r="D31" t="s">
        <v>263</v>
      </c>
      <c r="E31">
        <v>781946624</v>
      </c>
      <c r="F31">
        <v>21.43</v>
      </c>
      <c r="G31">
        <v>21.49</v>
      </c>
      <c r="H31">
        <v>21.49</v>
      </c>
      <c r="I31">
        <v>21.4</v>
      </c>
      <c r="J31">
        <v>21.01</v>
      </c>
      <c r="K31">
        <v>20.83</v>
      </c>
      <c r="L31">
        <v>20.84</v>
      </c>
      <c r="M31">
        <v>20.71</v>
      </c>
      <c r="N31">
        <v>20.89</v>
      </c>
      <c r="O31">
        <v>20.86</v>
      </c>
      <c r="P31">
        <v>0.31</v>
      </c>
      <c r="Q31">
        <v>20.34</v>
      </c>
      <c r="R31">
        <v>21.64</v>
      </c>
      <c r="S31">
        <v>20.86</v>
      </c>
      <c r="T31">
        <v>0</v>
      </c>
      <c r="U31">
        <v>21.72</v>
      </c>
      <c r="V31">
        <v>20.49</v>
      </c>
      <c r="W31">
        <v>20.149999999999999</v>
      </c>
      <c r="X31">
        <v>19.760000000000002</v>
      </c>
      <c r="Y31">
        <v>20.99</v>
      </c>
      <c r="Z31">
        <v>21.71</v>
      </c>
      <c r="AA31">
        <v>22.09</v>
      </c>
      <c r="AB31">
        <v>390500</v>
      </c>
      <c r="AC31">
        <v>357900</v>
      </c>
      <c r="AD31">
        <v>362800</v>
      </c>
      <c r="AE31">
        <v>328900</v>
      </c>
      <c r="AF31">
        <v>273600</v>
      </c>
      <c r="AG31" s="2">
        <f>AVERAGE(AB31:AF31)</f>
        <v>342740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15.26</v>
      </c>
      <c r="AT31">
        <v>22.53</v>
      </c>
      <c r="AU31">
        <v>77</v>
      </c>
      <c r="AV31">
        <v>23</v>
      </c>
      <c r="AW31">
        <v>0</v>
      </c>
      <c r="AX31">
        <v>0</v>
      </c>
      <c r="AY31">
        <v>45</v>
      </c>
      <c r="AZ31">
        <v>42.8</v>
      </c>
      <c r="BA31">
        <v>32</v>
      </c>
      <c r="BB31">
        <v>30.3</v>
      </c>
      <c r="BC31">
        <v>35</v>
      </c>
      <c r="BD31">
        <v>0</v>
      </c>
      <c r="BE31">
        <v>7</v>
      </c>
      <c r="BF31">
        <v>9.3000000000000007</v>
      </c>
      <c r="BG31">
        <v>0</v>
      </c>
      <c r="BH31">
        <v>0</v>
      </c>
      <c r="BI31">
        <v>13.1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 t="s">
        <v>137</v>
      </c>
      <c r="BV31">
        <v>24.6</v>
      </c>
      <c r="BW31">
        <v>25</v>
      </c>
      <c r="BX31">
        <v>24</v>
      </c>
      <c r="BY31">
        <v>0</v>
      </c>
      <c r="BZ31">
        <v>5</v>
      </c>
      <c r="CA31">
        <v>0</v>
      </c>
      <c r="CB31">
        <v>0</v>
      </c>
      <c r="CC31">
        <v>0</v>
      </c>
      <c r="CD31">
        <v>5</v>
      </c>
      <c r="CE31">
        <v>5</v>
      </c>
      <c r="CF31">
        <v>0</v>
      </c>
      <c r="CG31">
        <v>0</v>
      </c>
      <c r="CH31" t="s">
        <v>152</v>
      </c>
      <c r="CI31">
        <v>17.899999999999999</v>
      </c>
      <c r="CJ31" t="s">
        <v>139</v>
      </c>
      <c r="CK31">
        <v>0</v>
      </c>
      <c r="CL31">
        <v>24.5</v>
      </c>
      <c r="CM31" t="s">
        <v>264</v>
      </c>
      <c r="CN31">
        <v>5.2699997999999998E-2</v>
      </c>
      <c r="CO31">
        <v>5.0599999999999996</v>
      </c>
      <c r="CP31">
        <v>0</v>
      </c>
      <c r="CQ31" t="s">
        <v>137</v>
      </c>
      <c r="CR31">
        <v>0.1</v>
      </c>
      <c r="CS31">
        <v>0</v>
      </c>
      <c r="CT31">
        <v>0.1</v>
      </c>
      <c r="CU31">
        <v>0.1</v>
      </c>
      <c r="CV31">
        <v>1</v>
      </c>
      <c r="CW31" t="s">
        <v>137</v>
      </c>
      <c r="CX31">
        <v>7.8125</v>
      </c>
      <c r="CY31">
        <v>15.12</v>
      </c>
      <c r="CZ31">
        <v>33.65</v>
      </c>
      <c r="DA31" t="s">
        <v>265</v>
      </c>
      <c r="DB31">
        <v>0</v>
      </c>
      <c r="DC31">
        <v>0</v>
      </c>
      <c r="DD31">
        <v>1</v>
      </c>
      <c r="DE31">
        <v>0</v>
      </c>
      <c r="DF31">
        <v>0</v>
      </c>
      <c r="DG31">
        <v>64600000</v>
      </c>
      <c r="DH31">
        <v>8.26</v>
      </c>
      <c r="DI31">
        <v>40.1</v>
      </c>
      <c r="DJ31">
        <v>64600000</v>
      </c>
      <c r="DK31" t="s">
        <v>137</v>
      </c>
      <c r="DL31">
        <v>14127000</v>
      </c>
      <c r="DM31">
        <v>658876992</v>
      </c>
      <c r="DN31">
        <v>-644749992</v>
      </c>
      <c r="DO31">
        <v>0.02</v>
      </c>
      <c r="DP31">
        <v>2.98</v>
      </c>
      <c r="DQ31">
        <v>1.25</v>
      </c>
      <c r="DR31" t="s">
        <v>137</v>
      </c>
      <c r="DS31">
        <v>15.12</v>
      </c>
      <c r="DT31">
        <v>33.65</v>
      </c>
      <c r="DU31" t="s">
        <v>137</v>
      </c>
      <c r="DV31">
        <v>14.39</v>
      </c>
      <c r="DW31">
        <v>12.1</v>
      </c>
      <c r="DX31">
        <v>2.93</v>
      </c>
      <c r="DY31">
        <v>0</v>
      </c>
      <c r="DZ31">
        <v>30</v>
      </c>
      <c r="EA31">
        <v>10</v>
      </c>
      <c r="EB31">
        <v>1</v>
      </c>
      <c r="EC31">
        <v>40</v>
      </c>
      <c r="ED31">
        <v>0</v>
      </c>
    </row>
    <row r="32" spans="1:134" hidden="1" x14ac:dyDescent="0.2">
      <c r="A32" s="2" t="s">
        <v>266</v>
      </c>
      <c r="B32" s="2" t="s">
        <v>267</v>
      </c>
      <c r="C32" s="2" t="s">
        <v>135</v>
      </c>
      <c r="D32" s="2" t="s">
        <v>151</v>
      </c>
      <c r="E32" s="2">
        <v>278032096</v>
      </c>
      <c r="F32" s="2">
        <v>2.4300000000000002</v>
      </c>
      <c r="G32" s="2">
        <v>2.63</v>
      </c>
      <c r="H32" s="2">
        <v>2.69</v>
      </c>
      <c r="I32" s="2">
        <v>2.4500000000000002</v>
      </c>
      <c r="J32" s="2">
        <v>2.29</v>
      </c>
      <c r="K32" s="2">
        <v>2.2000000000000002</v>
      </c>
      <c r="L32" s="2">
        <v>2.39</v>
      </c>
      <c r="M32" s="2">
        <v>2.27</v>
      </c>
      <c r="N32" s="2">
        <v>2.2599999999999998</v>
      </c>
      <c r="O32" s="2">
        <v>2.58</v>
      </c>
      <c r="P32" s="2">
        <v>0.37</v>
      </c>
      <c r="Q32" s="2">
        <v>1.98</v>
      </c>
      <c r="R32" s="2">
        <v>3.48</v>
      </c>
      <c r="S32" s="2">
        <v>2.6</v>
      </c>
      <c r="T32" s="2">
        <v>0.8</v>
      </c>
      <c r="U32" s="2">
        <v>1.1200000000000001</v>
      </c>
      <c r="V32" s="2">
        <v>2.17</v>
      </c>
      <c r="W32" s="2">
        <v>1.6</v>
      </c>
      <c r="X32" s="2">
        <v>1.03</v>
      </c>
      <c r="Y32" s="2">
        <v>3.22</v>
      </c>
      <c r="Z32" s="2" t="s">
        <v>137</v>
      </c>
      <c r="AA32" s="2" t="s">
        <v>137</v>
      </c>
      <c r="AB32" s="2">
        <v>18152800</v>
      </c>
      <c r="AC32" s="2">
        <v>34088100</v>
      </c>
      <c r="AD32" s="2">
        <v>16576700</v>
      </c>
      <c r="AE32" s="2">
        <v>11503700</v>
      </c>
      <c r="AF32" s="2">
        <v>10606600</v>
      </c>
      <c r="AG32" s="2">
        <f>AVERAGE(AB32:AF32)</f>
        <v>18185580</v>
      </c>
      <c r="AH32" s="2">
        <v>1</v>
      </c>
      <c r="AI32" s="2">
        <v>0</v>
      </c>
      <c r="AJ32" s="2">
        <v>0</v>
      </c>
      <c r="AK32" s="2">
        <v>0</v>
      </c>
      <c r="AL32" s="2">
        <v>1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1</v>
      </c>
      <c r="AS32" s="2">
        <v>0.28999999999999998</v>
      </c>
      <c r="AT32" s="2">
        <v>2.97</v>
      </c>
      <c r="AU32" s="2">
        <v>85.4</v>
      </c>
      <c r="AV32" s="2">
        <v>14.6</v>
      </c>
      <c r="AW32" s="2">
        <v>0</v>
      </c>
      <c r="AX32" s="2">
        <v>1</v>
      </c>
      <c r="AY32" s="2">
        <v>83.4</v>
      </c>
      <c r="AZ32" s="2">
        <v>75.7</v>
      </c>
      <c r="BA32" s="2">
        <v>66.400000000000006</v>
      </c>
      <c r="BB32" s="2">
        <v>67.5</v>
      </c>
      <c r="BC32" s="2">
        <v>72.3</v>
      </c>
      <c r="BD32" s="2">
        <v>0</v>
      </c>
      <c r="BE32" s="2">
        <v>10.8</v>
      </c>
      <c r="BF32" s="2">
        <v>19.3</v>
      </c>
      <c r="BG32" s="2">
        <v>0</v>
      </c>
      <c r="BH32" s="2">
        <v>0</v>
      </c>
      <c r="BI32" s="2">
        <v>58</v>
      </c>
      <c r="BJ32" s="2">
        <v>1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1</v>
      </c>
      <c r="BV32" s="2">
        <v>4.9000000000000004</v>
      </c>
      <c r="BW32" s="2">
        <v>4.9000000000000004</v>
      </c>
      <c r="BX32" s="2">
        <v>4.9000000000000004</v>
      </c>
      <c r="BY32" s="2">
        <v>0</v>
      </c>
      <c r="BZ32" s="2">
        <v>1</v>
      </c>
      <c r="CA32" s="2">
        <v>0</v>
      </c>
      <c r="CB32" s="2">
        <v>0</v>
      </c>
      <c r="CC32" s="2">
        <v>0</v>
      </c>
      <c r="CD32" s="2">
        <v>1</v>
      </c>
      <c r="CE32" s="2">
        <v>1</v>
      </c>
      <c r="CF32" s="2">
        <v>0</v>
      </c>
      <c r="CG32" s="2">
        <v>0</v>
      </c>
      <c r="CH32" s="2" t="s">
        <v>268</v>
      </c>
      <c r="CI32" s="2">
        <v>89.9</v>
      </c>
      <c r="CJ32" s="2" t="s">
        <v>237</v>
      </c>
      <c r="CK32" s="2">
        <v>1</v>
      </c>
      <c r="CL32" s="2">
        <v>4.1500000000000004</v>
      </c>
      <c r="CM32" s="2" t="s">
        <v>269</v>
      </c>
      <c r="CN32" s="2">
        <v>7.9299999999999995E-2</v>
      </c>
      <c r="CO32" s="2">
        <v>1.03</v>
      </c>
      <c r="CP32" s="2">
        <v>1</v>
      </c>
      <c r="CQ32" s="2" t="s">
        <v>137</v>
      </c>
      <c r="CR32" s="2">
        <v>0.04</v>
      </c>
      <c r="CS32" s="2">
        <v>-0.02</v>
      </c>
      <c r="CT32" s="2">
        <v>0.06</v>
      </c>
      <c r="CU32" s="2">
        <v>0.04</v>
      </c>
      <c r="CV32" s="2">
        <v>1</v>
      </c>
      <c r="CW32" s="2">
        <v>1.5</v>
      </c>
      <c r="CX32" s="2">
        <v>-1.5713999999999999</v>
      </c>
      <c r="CY32" s="2">
        <v>4.03</v>
      </c>
      <c r="CZ32" s="2">
        <v>-28.67</v>
      </c>
      <c r="DA32" s="2" t="s">
        <v>154</v>
      </c>
      <c r="DB32" s="2">
        <v>0</v>
      </c>
      <c r="DC32" s="2">
        <v>0</v>
      </c>
      <c r="DD32" s="2">
        <v>0.5</v>
      </c>
      <c r="DE32" s="2">
        <v>0</v>
      </c>
      <c r="DF32" s="2">
        <v>0</v>
      </c>
      <c r="DG32" s="2">
        <v>-140902000</v>
      </c>
      <c r="DH32" s="2">
        <v>-50.68</v>
      </c>
      <c r="DI32" s="2" t="s">
        <v>137</v>
      </c>
      <c r="DJ32" s="2">
        <v>-43902000</v>
      </c>
      <c r="DK32" s="2">
        <v>-97000000</v>
      </c>
      <c r="DL32" s="2">
        <v>7624000</v>
      </c>
      <c r="DM32" s="2">
        <v>38000</v>
      </c>
      <c r="DN32" s="2">
        <v>7586000</v>
      </c>
      <c r="DO32" s="2">
        <v>200.63</v>
      </c>
      <c r="DP32" s="2">
        <v>79.19</v>
      </c>
      <c r="DQ32" s="2">
        <v>78.88</v>
      </c>
      <c r="DR32" s="2" t="s">
        <v>137</v>
      </c>
      <c r="DS32" s="2">
        <v>4.03</v>
      </c>
      <c r="DT32" s="2">
        <v>-28.67</v>
      </c>
      <c r="DU32" s="2" t="s">
        <v>137</v>
      </c>
      <c r="DV32" s="2" t="s">
        <v>137</v>
      </c>
      <c r="DW32" s="2" t="s">
        <v>137</v>
      </c>
      <c r="DX32" s="2">
        <v>1.9</v>
      </c>
      <c r="DY32" s="2">
        <v>0</v>
      </c>
      <c r="DZ32" s="2">
        <v>45</v>
      </c>
      <c r="EA32" s="2">
        <v>0</v>
      </c>
      <c r="EB32" s="2">
        <v>0</v>
      </c>
      <c r="EC32" s="2">
        <v>45</v>
      </c>
      <c r="ED32" s="2">
        <v>0</v>
      </c>
    </row>
    <row r="33" spans="1:134" hidden="1" x14ac:dyDescent="0.2">
      <c r="A33" s="2" t="s">
        <v>270</v>
      </c>
      <c r="B33" s="2" t="s">
        <v>271</v>
      </c>
      <c r="C33" s="2" t="s">
        <v>135</v>
      </c>
      <c r="D33" s="2" t="s">
        <v>136</v>
      </c>
      <c r="E33" s="2">
        <v>721970048</v>
      </c>
      <c r="F33" s="2">
        <v>19.309999999999999</v>
      </c>
      <c r="G33" s="2">
        <v>19</v>
      </c>
      <c r="H33" s="2">
        <v>18.89</v>
      </c>
      <c r="I33" s="2">
        <v>19</v>
      </c>
      <c r="J33" s="2">
        <v>19.100000000000001</v>
      </c>
      <c r="K33" s="2">
        <v>19.260000000000002</v>
      </c>
      <c r="L33" s="2">
        <v>19.34</v>
      </c>
      <c r="M33" s="2">
        <v>19.36</v>
      </c>
      <c r="N33" s="2">
        <v>19.43</v>
      </c>
      <c r="O33" s="2">
        <v>19.45</v>
      </c>
      <c r="P33" s="2">
        <v>0.48</v>
      </c>
      <c r="Q33" s="2">
        <v>18.95</v>
      </c>
      <c r="R33" s="2">
        <v>20.2</v>
      </c>
      <c r="S33" s="2">
        <v>19.46</v>
      </c>
      <c r="T33" s="2">
        <v>0.1</v>
      </c>
      <c r="U33" s="2">
        <v>19</v>
      </c>
      <c r="V33" s="2">
        <v>19.190000000000001</v>
      </c>
      <c r="W33" s="2">
        <v>18.62</v>
      </c>
      <c r="X33" s="2">
        <v>18.39</v>
      </c>
      <c r="Y33" s="2">
        <v>19.72</v>
      </c>
      <c r="Z33" s="2">
        <v>20.22</v>
      </c>
      <c r="AA33" s="2" t="s">
        <v>137</v>
      </c>
      <c r="AB33" s="2">
        <v>95600</v>
      </c>
      <c r="AC33" s="2">
        <v>138900</v>
      </c>
      <c r="AD33" s="2">
        <v>84400</v>
      </c>
      <c r="AE33" s="2">
        <v>91800</v>
      </c>
      <c r="AF33" s="2">
        <v>69900</v>
      </c>
      <c r="AG33" s="2">
        <f>AVERAGE(AB33:AF33)</f>
        <v>96120</v>
      </c>
      <c r="AH33" s="2">
        <v>0</v>
      </c>
      <c r="AI33" s="2">
        <v>1</v>
      </c>
      <c r="AJ33" s="2">
        <v>1</v>
      </c>
      <c r="AK33" s="2">
        <v>1</v>
      </c>
      <c r="AL33" s="2">
        <v>1</v>
      </c>
      <c r="AM33" s="2">
        <v>0</v>
      </c>
      <c r="AN33" s="2">
        <v>0</v>
      </c>
      <c r="AO33" s="2">
        <v>1</v>
      </c>
      <c r="AP33" s="2">
        <v>0</v>
      </c>
      <c r="AQ33" s="2">
        <v>0</v>
      </c>
      <c r="AR33" s="2">
        <v>1</v>
      </c>
      <c r="AS33" s="2">
        <v>16.32</v>
      </c>
      <c r="AT33" s="2">
        <v>20.95</v>
      </c>
      <c r="AU33" s="2">
        <v>67.599999999999994</v>
      </c>
      <c r="AV33" s="2">
        <v>32.4</v>
      </c>
      <c r="AW33" s="2">
        <v>0</v>
      </c>
      <c r="AX33" s="2">
        <v>1</v>
      </c>
      <c r="AY33" s="2">
        <v>49.6</v>
      </c>
      <c r="AZ33" s="2">
        <v>49.6</v>
      </c>
      <c r="BA33" s="2">
        <v>55.3</v>
      </c>
      <c r="BB33" s="2">
        <v>57.3</v>
      </c>
      <c r="BC33" s="2">
        <v>59.1</v>
      </c>
      <c r="BD33" s="2">
        <v>0</v>
      </c>
      <c r="BE33" s="2">
        <v>68.2</v>
      </c>
      <c r="BF33" s="2">
        <v>50.3</v>
      </c>
      <c r="BG33" s="2">
        <v>0</v>
      </c>
      <c r="BH33" s="2">
        <v>0</v>
      </c>
      <c r="BI33" s="2">
        <v>10.3</v>
      </c>
      <c r="BJ33" s="2">
        <v>0</v>
      </c>
      <c r="BK33" s="2">
        <v>0</v>
      </c>
      <c r="BL33" s="2">
        <v>1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1</v>
      </c>
      <c r="BS33" s="2">
        <v>0</v>
      </c>
      <c r="BT33" s="2">
        <v>0</v>
      </c>
      <c r="BU33" s="2" t="s">
        <v>137</v>
      </c>
      <c r="BV33" s="2">
        <v>21</v>
      </c>
      <c r="BW33" s="2">
        <v>22</v>
      </c>
      <c r="BX33" s="2">
        <v>20</v>
      </c>
      <c r="BY33" s="2">
        <v>0</v>
      </c>
      <c r="BZ33" s="2">
        <v>1</v>
      </c>
      <c r="CA33" s="2">
        <v>1</v>
      </c>
      <c r="CB33" s="2">
        <v>0</v>
      </c>
      <c r="CC33" s="2">
        <v>0</v>
      </c>
      <c r="CD33" s="2">
        <v>2</v>
      </c>
      <c r="CE33" s="2">
        <v>1</v>
      </c>
      <c r="CF33" s="2">
        <v>1</v>
      </c>
      <c r="CG33" s="2">
        <v>0</v>
      </c>
      <c r="CH33" s="2" t="s">
        <v>152</v>
      </c>
      <c r="CI33" s="2">
        <v>8</v>
      </c>
      <c r="CJ33" s="2" t="s">
        <v>139</v>
      </c>
      <c r="CK33" s="2">
        <v>0</v>
      </c>
      <c r="CL33" s="2">
        <v>21</v>
      </c>
      <c r="CM33" s="2" t="s">
        <v>272</v>
      </c>
      <c r="CN33" s="2">
        <v>4.8099999999999997E-2</v>
      </c>
      <c r="CO33" s="2">
        <v>6.3</v>
      </c>
      <c r="CP33" s="2">
        <v>0</v>
      </c>
      <c r="CQ33" s="2" t="s">
        <v>137</v>
      </c>
      <c r="CR33" s="2">
        <v>0.43</v>
      </c>
      <c r="CS33" s="2">
        <v>0.44500000000000001</v>
      </c>
      <c r="CT33" s="2">
        <v>-1.500000000000001E-2</v>
      </c>
      <c r="CU33" s="2">
        <v>0.43</v>
      </c>
      <c r="CV33" s="2">
        <v>2</v>
      </c>
      <c r="CW33" s="2">
        <v>-0.1731</v>
      </c>
      <c r="CX33" s="2">
        <v>-0.17050000000000001</v>
      </c>
      <c r="CY33" s="2">
        <v>10.130000000000001</v>
      </c>
      <c r="CZ33" s="2">
        <v>10.37</v>
      </c>
      <c r="DA33" s="2" t="s">
        <v>165</v>
      </c>
      <c r="DB33" s="2">
        <v>0</v>
      </c>
      <c r="DC33" s="2">
        <v>0</v>
      </c>
      <c r="DD33" s="2">
        <v>1</v>
      </c>
      <c r="DE33" s="2">
        <v>2</v>
      </c>
      <c r="DF33" s="2">
        <v>0</v>
      </c>
      <c r="DG33" s="2">
        <v>70199041</v>
      </c>
      <c r="DH33" s="2">
        <v>9.7200000000000006</v>
      </c>
      <c r="DI33" s="2">
        <v>7.29</v>
      </c>
      <c r="DJ33" s="2">
        <v>70199466</v>
      </c>
      <c r="DK33" s="2">
        <v>-425</v>
      </c>
      <c r="DL33" s="2">
        <v>50252440</v>
      </c>
      <c r="DM33" s="2">
        <v>35000000</v>
      </c>
      <c r="DN33" s="2">
        <v>15252440</v>
      </c>
      <c r="DO33" s="2">
        <v>1.44</v>
      </c>
      <c r="DP33" s="2">
        <v>0.51</v>
      </c>
      <c r="DQ33" s="2">
        <v>0.16</v>
      </c>
      <c r="DR33" s="2">
        <v>1.38</v>
      </c>
      <c r="DS33" s="2">
        <v>10.130000000000001</v>
      </c>
      <c r="DT33" s="2">
        <v>10.37</v>
      </c>
      <c r="DU33" s="2">
        <v>1.38</v>
      </c>
      <c r="DV33" s="2">
        <v>7.68</v>
      </c>
      <c r="DW33" s="2">
        <v>10.28</v>
      </c>
      <c r="DX33" s="2">
        <v>0</v>
      </c>
      <c r="DY33" s="2">
        <v>0</v>
      </c>
      <c r="DZ33" s="2">
        <v>26</v>
      </c>
      <c r="EA33" s="2">
        <v>25</v>
      </c>
      <c r="EB33" s="2">
        <v>2</v>
      </c>
      <c r="EC33" s="2">
        <v>51</v>
      </c>
      <c r="ED33" s="2">
        <v>0</v>
      </c>
    </row>
    <row r="34" spans="1:134" x14ac:dyDescent="0.2">
      <c r="A34" t="s">
        <v>369</v>
      </c>
      <c r="B34" t="s">
        <v>370</v>
      </c>
      <c r="C34" t="s">
        <v>301</v>
      </c>
      <c r="D34" t="s">
        <v>302</v>
      </c>
      <c r="E34">
        <v>2033733760</v>
      </c>
      <c r="F34">
        <v>30.72</v>
      </c>
      <c r="G34">
        <v>29.8</v>
      </c>
      <c r="H34">
        <v>30</v>
      </c>
      <c r="I34">
        <v>29.84</v>
      </c>
      <c r="J34">
        <v>30.19</v>
      </c>
      <c r="K34">
        <v>29.69</v>
      </c>
      <c r="L34">
        <v>29.98</v>
      </c>
      <c r="M34">
        <v>30.13</v>
      </c>
      <c r="N34">
        <v>29.81</v>
      </c>
      <c r="O34">
        <v>29.08</v>
      </c>
      <c r="P34">
        <v>1.24</v>
      </c>
      <c r="Q34">
        <v>27.24</v>
      </c>
      <c r="R34">
        <v>31.84</v>
      </c>
      <c r="S34">
        <v>29.01</v>
      </c>
      <c r="T34">
        <v>-0.2</v>
      </c>
      <c r="U34">
        <v>28.28</v>
      </c>
      <c r="V34">
        <v>27.86</v>
      </c>
      <c r="W34">
        <v>26.38</v>
      </c>
      <c r="X34">
        <v>25.6</v>
      </c>
      <c r="Y34">
        <v>29.67</v>
      </c>
      <c r="Z34">
        <v>31.7</v>
      </c>
      <c r="AA34">
        <v>32.25</v>
      </c>
      <c r="AB34">
        <v>1314300</v>
      </c>
      <c r="AC34">
        <v>693200</v>
      </c>
      <c r="AD34">
        <v>838000</v>
      </c>
      <c r="AE34">
        <v>753400</v>
      </c>
      <c r="AF34">
        <v>895000</v>
      </c>
      <c r="AG34" s="2">
        <f>AVERAGE(AB34:AF34)</f>
        <v>898780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16.63</v>
      </c>
      <c r="AT34">
        <v>31.63</v>
      </c>
      <c r="AU34">
        <v>83</v>
      </c>
      <c r="AV34">
        <v>17</v>
      </c>
      <c r="AW34">
        <v>0</v>
      </c>
      <c r="AX34">
        <v>0</v>
      </c>
      <c r="AY34">
        <v>52.4</v>
      </c>
      <c r="AZ34">
        <v>52.6</v>
      </c>
      <c r="BA34">
        <v>51.6</v>
      </c>
      <c r="BB34">
        <v>54.5</v>
      </c>
      <c r="BC34">
        <v>47.3</v>
      </c>
      <c r="BD34">
        <v>0</v>
      </c>
      <c r="BE34">
        <v>26.9</v>
      </c>
      <c r="BF34">
        <v>33.6</v>
      </c>
      <c r="BG34">
        <v>0</v>
      </c>
      <c r="BH34">
        <v>0</v>
      </c>
      <c r="BI34">
        <v>18.5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 t="s">
        <v>137</v>
      </c>
      <c r="BV34">
        <v>33.4</v>
      </c>
      <c r="BW34">
        <v>36</v>
      </c>
      <c r="BX34">
        <v>27</v>
      </c>
      <c r="BY34">
        <v>1</v>
      </c>
      <c r="BZ34">
        <v>3</v>
      </c>
      <c r="CA34">
        <v>1</v>
      </c>
      <c r="CB34">
        <v>0</v>
      </c>
      <c r="CC34">
        <v>0</v>
      </c>
      <c r="CD34">
        <v>5</v>
      </c>
      <c r="CE34">
        <v>4</v>
      </c>
      <c r="CF34">
        <v>1</v>
      </c>
      <c r="CG34">
        <v>0</v>
      </c>
      <c r="CH34" t="s">
        <v>152</v>
      </c>
      <c r="CI34">
        <v>14.9</v>
      </c>
      <c r="CJ34" t="s">
        <v>139</v>
      </c>
      <c r="CK34">
        <v>0</v>
      </c>
      <c r="CL34">
        <v>34.5</v>
      </c>
      <c r="CM34" t="s">
        <v>371</v>
      </c>
      <c r="CN34">
        <v>6.3299999999999995E-2</v>
      </c>
      <c r="CO34">
        <v>2.97</v>
      </c>
      <c r="CP34">
        <v>0</v>
      </c>
      <c r="CQ34" t="s">
        <v>137</v>
      </c>
      <c r="CR34">
        <v>0.38707999999999998</v>
      </c>
      <c r="CS34">
        <v>0.36075000000000002</v>
      </c>
      <c r="CT34">
        <v>2.6329999999999961E-2</v>
      </c>
      <c r="CU34">
        <v>0.38707999999999998</v>
      </c>
      <c r="CV34">
        <v>4</v>
      </c>
      <c r="CW34">
        <v>0.64859999999999995</v>
      </c>
      <c r="CX34">
        <v>0.45810002</v>
      </c>
      <c r="CY34">
        <v>32.67</v>
      </c>
      <c r="CZ34">
        <v>15.54</v>
      </c>
      <c r="DA34" t="s">
        <v>201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155780000</v>
      </c>
      <c r="DH34">
        <v>7.66</v>
      </c>
      <c r="DI34">
        <v>15.62</v>
      </c>
      <c r="DJ34">
        <v>190912000</v>
      </c>
      <c r="DK34">
        <v>-35132000</v>
      </c>
      <c r="DL34">
        <v>229860000</v>
      </c>
      <c r="DM34">
        <v>74554000</v>
      </c>
      <c r="DN34">
        <v>155306000</v>
      </c>
      <c r="DO34">
        <v>3.08</v>
      </c>
      <c r="DP34">
        <v>5.01</v>
      </c>
      <c r="DQ34">
        <v>3.21</v>
      </c>
      <c r="DR34" t="s">
        <v>137</v>
      </c>
      <c r="DS34">
        <v>32.67</v>
      </c>
      <c r="DT34">
        <v>15.54</v>
      </c>
      <c r="DU34" t="s">
        <v>137</v>
      </c>
      <c r="DV34">
        <v>10.75</v>
      </c>
      <c r="DW34">
        <v>13.06</v>
      </c>
      <c r="DX34">
        <v>3.48</v>
      </c>
      <c r="DY34">
        <v>0</v>
      </c>
      <c r="DZ34">
        <v>48</v>
      </c>
      <c r="EA34">
        <v>20</v>
      </c>
      <c r="EB34">
        <v>2</v>
      </c>
      <c r="EC34">
        <v>68</v>
      </c>
      <c r="ED34">
        <v>1</v>
      </c>
    </row>
    <row r="35" spans="1:134" x14ac:dyDescent="0.2">
      <c r="A35" s="2" t="s">
        <v>372</v>
      </c>
      <c r="B35" s="2" t="s">
        <v>373</v>
      </c>
      <c r="C35" s="2" t="s">
        <v>144</v>
      </c>
      <c r="D35" s="2" t="s">
        <v>374</v>
      </c>
      <c r="E35" s="2">
        <v>689050624</v>
      </c>
      <c r="F35" s="2">
        <v>4.25</v>
      </c>
      <c r="G35" s="2">
        <v>4.17</v>
      </c>
      <c r="H35" s="2">
        <v>4.1399999999999997</v>
      </c>
      <c r="I35" s="2">
        <v>4.07</v>
      </c>
      <c r="J35" s="2">
        <v>4.03</v>
      </c>
      <c r="K35" s="2">
        <v>3.97</v>
      </c>
      <c r="L35" s="2">
        <v>4.03</v>
      </c>
      <c r="M35" s="2">
        <v>4.08</v>
      </c>
      <c r="N35" s="2">
        <v>4.0999999999999996</v>
      </c>
      <c r="O35" s="2">
        <v>4.17</v>
      </c>
      <c r="P35" s="2">
        <v>0.17</v>
      </c>
      <c r="Q35" s="2">
        <v>3.95</v>
      </c>
      <c r="R35" s="2">
        <v>4.5</v>
      </c>
      <c r="S35" s="2">
        <v>4.17</v>
      </c>
      <c r="T35" s="2">
        <v>-0.1</v>
      </c>
      <c r="U35" s="2">
        <v>4.16</v>
      </c>
      <c r="V35" s="2">
        <v>4.04</v>
      </c>
      <c r="W35" s="2">
        <v>3.94</v>
      </c>
      <c r="X35" s="2">
        <v>3.79</v>
      </c>
      <c r="Y35" s="2">
        <v>4.3600000000000003</v>
      </c>
      <c r="Z35" s="2">
        <v>4.43</v>
      </c>
      <c r="AA35" s="2">
        <v>4.49</v>
      </c>
      <c r="AB35" s="2">
        <v>2275600</v>
      </c>
      <c r="AC35" s="2">
        <v>1477200</v>
      </c>
      <c r="AD35" s="2">
        <v>1174200</v>
      </c>
      <c r="AE35" s="2">
        <v>1249600</v>
      </c>
      <c r="AF35" s="2">
        <v>1252500</v>
      </c>
      <c r="AG35" s="2">
        <f>AVERAGE(AB35:AF35)</f>
        <v>1485820</v>
      </c>
      <c r="AH35" s="2">
        <v>0</v>
      </c>
      <c r="AI35" s="2">
        <v>0</v>
      </c>
      <c r="AJ35" s="2">
        <v>0</v>
      </c>
      <c r="AK35" s="2">
        <v>1</v>
      </c>
      <c r="AL35" s="2">
        <v>1</v>
      </c>
      <c r="AM35" s="2">
        <v>0</v>
      </c>
      <c r="AN35" s="2">
        <v>0</v>
      </c>
      <c r="AO35" s="2">
        <v>0</v>
      </c>
      <c r="AP35" s="2">
        <v>0</v>
      </c>
      <c r="AQ35" s="2">
        <v>1</v>
      </c>
      <c r="AR35" s="2">
        <v>1</v>
      </c>
      <c r="AS35" s="2">
        <v>1.27</v>
      </c>
      <c r="AT35" s="2">
        <v>5.39</v>
      </c>
      <c r="AU35" s="2">
        <v>70.400000000000006</v>
      </c>
      <c r="AV35" s="2">
        <v>29.6</v>
      </c>
      <c r="AW35" s="2">
        <v>1</v>
      </c>
      <c r="AX35" s="2">
        <v>1</v>
      </c>
      <c r="AY35" s="2">
        <v>48.6</v>
      </c>
      <c r="AZ35" s="2">
        <v>45.7</v>
      </c>
      <c r="BA35" s="2">
        <v>43</v>
      </c>
      <c r="BB35" s="2">
        <v>46.8</v>
      </c>
      <c r="BC35" s="2">
        <v>49.7</v>
      </c>
      <c r="BD35" s="2">
        <v>0</v>
      </c>
      <c r="BE35" s="2">
        <v>27.2</v>
      </c>
      <c r="BF35" s="2">
        <v>12.3</v>
      </c>
      <c r="BG35" s="2">
        <v>0</v>
      </c>
      <c r="BH35" s="2">
        <v>0</v>
      </c>
      <c r="BI35" s="2">
        <v>11.9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2.25</v>
      </c>
      <c r="BV35" s="2">
        <v>6.1</v>
      </c>
      <c r="BW35" s="2">
        <v>10</v>
      </c>
      <c r="BX35" s="2">
        <v>3.7</v>
      </c>
      <c r="BY35" s="2">
        <v>1</v>
      </c>
      <c r="BZ35" s="2">
        <v>1</v>
      </c>
      <c r="CA35" s="2">
        <v>2</v>
      </c>
      <c r="CB35" s="2">
        <v>0</v>
      </c>
      <c r="CC35" s="2">
        <v>0</v>
      </c>
      <c r="CD35" s="2">
        <v>4</v>
      </c>
      <c r="CE35" s="2">
        <v>2</v>
      </c>
      <c r="CF35" s="2">
        <v>2</v>
      </c>
      <c r="CG35" s="2">
        <v>0</v>
      </c>
      <c r="CH35" s="2" t="s">
        <v>138</v>
      </c>
      <c r="CI35" s="2">
        <v>46.3</v>
      </c>
      <c r="CJ35" s="2" t="s">
        <v>139</v>
      </c>
      <c r="CK35" s="2">
        <v>1</v>
      </c>
      <c r="CL35" s="2">
        <v>6.1</v>
      </c>
      <c r="CM35" s="2" t="s">
        <v>375</v>
      </c>
      <c r="CN35" s="2">
        <v>0.1167</v>
      </c>
      <c r="CO35" s="2">
        <v>8.0500000000000007</v>
      </c>
      <c r="CP35" s="2">
        <v>1</v>
      </c>
      <c r="CQ35" s="2" t="s">
        <v>137</v>
      </c>
      <c r="CR35" s="2">
        <v>0.31</v>
      </c>
      <c r="CS35" s="2">
        <v>0.31</v>
      </c>
      <c r="CT35" s="2">
        <v>0</v>
      </c>
      <c r="CU35" s="2">
        <v>0.31</v>
      </c>
      <c r="CV35" s="2">
        <v>2</v>
      </c>
      <c r="CW35" s="2">
        <v>0.29170000000000001</v>
      </c>
      <c r="CX35" s="2">
        <v>3.84</v>
      </c>
      <c r="CY35" s="2">
        <v>5.28</v>
      </c>
      <c r="CZ35" s="2">
        <v>2.78</v>
      </c>
      <c r="DA35" s="2" t="s">
        <v>183</v>
      </c>
      <c r="DB35" s="2">
        <v>0</v>
      </c>
      <c r="DC35" s="2">
        <v>1</v>
      </c>
      <c r="DD35" s="2">
        <v>0.5</v>
      </c>
      <c r="DE35" s="2">
        <v>0</v>
      </c>
      <c r="DF35" s="2">
        <v>0</v>
      </c>
      <c r="DG35" s="2">
        <v>127010000</v>
      </c>
      <c r="DH35" s="2">
        <v>18.43</v>
      </c>
      <c r="DI35" s="2">
        <v>32.619999999999997</v>
      </c>
      <c r="DJ35" s="2">
        <v>127044000</v>
      </c>
      <c r="DK35" s="2">
        <v>-34000</v>
      </c>
      <c r="DL35" s="2">
        <v>79127000</v>
      </c>
      <c r="DM35" s="2">
        <v>396865984</v>
      </c>
      <c r="DN35" s="2">
        <v>-317738984</v>
      </c>
      <c r="DO35" s="2">
        <v>0.2</v>
      </c>
      <c r="DP35" s="2">
        <v>6.06</v>
      </c>
      <c r="DQ35" s="2">
        <v>5.84</v>
      </c>
      <c r="DR35" s="2" t="s">
        <v>137</v>
      </c>
      <c r="DS35" s="2">
        <v>5.28</v>
      </c>
      <c r="DT35" s="2">
        <v>2.78</v>
      </c>
      <c r="DU35" s="2" t="s">
        <v>137</v>
      </c>
      <c r="DV35" s="2">
        <v>4.2300000000000004</v>
      </c>
      <c r="DW35" s="2">
        <v>5.43</v>
      </c>
      <c r="DX35" s="2">
        <v>0</v>
      </c>
      <c r="DY35" s="2">
        <v>0</v>
      </c>
      <c r="DZ35" s="2">
        <v>48</v>
      </c>
      <c r="EA35" s="2">
        <v>20</v>
      </c>
      <c r="EB35" s="2">
        <v>2</v>
      </c>
      <c r="EC35" s="2">
        <v>68</v>
      </c>
      <c r="ED35" s="2">
        <v>0</v>
      </c>
    </row>
    <row r="36" spans="1:134" hidden="1" x14ac:dyDescent="0.2">
      <c r="A36" s="2" t="s">
        <v>283</v>
      </c>
      <c r="B36" s="2" t="s">
        <v>284</v>
      </c>
      <c r="C36" s="2" t="s">
        <v>241</v>
      </c>
      <c r="D36" s="2" t="s">
        <v>242</v>
      </c>
      <c r="E36" s="2">
        <v>79755200</v>
      </c>
      <c r="F36" s="2">
        <v>5.86</v>
      </c>
      <c r="G36" s="2">
        <v>5.67</v>
      </c>
      <c r="H36" s="2">
        <v>5.52</v>
      </c>
      <c r="I36" s="2">
        <v>5.61</v>
      </c>
      <c r="J36" s="2">
        <v>5.65</v>
      </c>
      <c r="K36" s="2">
        <v>5.59</v>
      </c>
      <c r="L36" s="2">
        <v>5.69</v>
      </c>
      <c r="M36" s="2">
        <v>5.61</v>
      </c>
      <c r="N36" s="2">
        <v>5.61</v>
      </c>
      <c r="O36" s="2">
        <v>5.64</v>
      </c>
      <c r="P36" s="2">
        <v>0.35</v>
      </c>
      <c r="Q36" s="2">
        <v>5.34</v>
      </c>
      <c r="R36" s="2">
        <v>6.1</v>
      </c>
      <c r="S36" s="2">
        <v>5.66</v>
      </c>
      <c r="T36" s="2">
        <v>0.3</v>
      </c>
      <c r="U36" s="2">
        <v>5.71</v>
      </c>
      <c r="V36" s="2">
        <v>5.51</v>
      </c>
      <c r="W36" s="2">
        <v>5.44</v>
      </c>
      <c r="X36" s="2">
        <v>5.2</v>
      </c>
      <c r="Y36" s="2">
        <v>6.15</v>
      </c>
      <c r="Z36" s="2">
        <v>6.24</v>
      </c>
      <c r="AA36" s="2">
        <v>6.44</v>
      </c>
      <c r="AB36" s="2">
        <v>76100</v>
      </c>
      <c r="AC36" s="2">
        <v>52000</v>
      </c>
      <c r="AD36" s="2">
        <v>53500</v>
      </c>
      <c r="AE36" s="2">
        <v>112000</v>
      </c>
      <c r="AF36" s="2">
        <v>66200</v>
      </c>
      <c r="AG36" s="2">
        <f>AVERAGE(AB36:AF36)</f>
        <v>71960</v>
      </c>
      <c r="AH36" s="2">
        <v>0</v>
      </c>
      <c r="AI36" s="2">
        <v>1</v>
      </c>
      <c r="AJ36" s="2">
        <v>0</v>
      </c>
      <c r="AK36" s="2">
        <v>0</v>
      </c>
      <c r="AL36" s="2">
        <v>1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1.45</v>
      </c>
      <c r="AT36" s="2">
        <v>8.89</v>
      </c>
      <c r="AU36" s="2">
        <v>56.4</v>
      </c>
      <c r="AV36" s="2">
        <v>43.6</v>
      </c>
      <c r="AW36" s="2">
        <v>0</v>
      </c>
      <c r="AX36" s="2">
        <v>1</v>
      </c>
      <c r="AY36" s="2">
        <v>43.5</v>
      </c>
      <c r="AZ36" s="2">
        <v>42.3</v>
      </c>
      <c r="BA36" s="2">
        <v>41.9</v>
      </c>
      <c r="BB36" s="2">
        <v>42.6</v>
      </c>
      <c r="BC36" s="2">
        <v>43.6</v>
      </c>
      <c r="BD36" s="2">
        <v>0</v>
      </c>
      <c r="BE36" s="2">
        <v>7.3</v>
      </c>
      <c r="BF36" s="2">
        <v>3.1</v>
      </c>
      <c r="BG36" s="2">
        <v>0</v>
      </c>
      <c r="BH36" s="2">
        <v>0</v>
      </c>
      <c r="BI36" s="2">
        <v>9.8000000000000007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1</v>
      </c>
      <c r="BV36" s="2">
        <v>10</v>
      </c>
      <c r="BW36" s="2">
        <v>12</v>
      </c>
      <c r="BX36" s="2">
        <v>8</v>
      </c>
      <c r="BY36" s="2">
        <v>0</v>
      </c>
      <c r="BZ36" s="2">
        <v>3</v>
      </c>
      <c r="CA36" s="2">
        <v>0</v>
      </c>
      <c r="CB36" s="2">
        <v>0</v>
      </c>
      <c r="CC36" s="2">
        <v>0</v>
      </c>
      <c r="CD36" s="2">
        <v>3</v>
      </c>
      <c r="CE36" s="2">
        <v>3</v>
      </c>
      <c r="CF36" s="2">
        <v>0</v>
      </c>
      <c r="CG36" s="2">
        <v>0</v>
      </c>
      <c r="CH36" s="2" t="s">
        <v>268</v>
      </c>
      <c r="CI36" s="2">
        <v>77.099999999999994</v>
      </c>
      <c r="CJ36" s="2" t="s">
        <v>237</v>
      </c>
      <c r="CK36" s="2">
        <v>0</v>
      </c>
      <c r="CL36" s="2">
        <v>10</v>
      </c>
      <c r="CM36" s="2" t="s">
        <v>285</v>
      </c>
      <c r="CN36" s="2">
        <v>1.15E-2</v>
      </c>
      <c r="CO36" s="2">
        <v>0.82</v>
      </c>
      <c r="CP36" s="2">
        <v>0</v>
      </c>
      <c r="CQ36" s="2" t="s">
        <v>137</v>
      </c>
      <c r="CR36" s="2">
        <v>0.04</v>
      </c>
      <c r="CS36" s="2">
        <v>0.04</v>
      </c>
      <c r="CT36" s="2">
        <v>0</v>
      </c>
      <c r="CU36" s="2">
        <v>0.04</v>
      </c>
      <c r="CV36" s="2">
        <v>3</v>
      </c>
      <c r="CW36" s="2" t="s">
        <v>137</v>
      </c>
      <c r="CX36" s="2">
        <v>-4.8899997000000001E-2</v>
      </c>
      <c r="CY36" s="2">
        <v>14.47</v>
      </c>
      <c r="CZ36" s="2">
        <v>10.91</v>
      </c>
      <c r="DA36" s="2" t="s">
        <v>286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-832876</v>
      </c>
      <c r="DH36" s="2">
        <v>-1.04</v>
      </c>
      <c r="DI36" s="2">
        <v>-4.0999999999999996</v>
      </c>
      <c r="DJ36" s="2">
        <v>-780393</v>
      </c>
      <c r="DK36" s="2">
        <v>-52483</v>
      </c>
      <c r="DL36" s="2">
        <v>4308342</v>
      </c>
      <c r="DM36" s="2">
        <v>5518533</v>
      </c>
      <c r="DN36" s="2">
        <v>-1210191</v>
      </c>
      <c r="DO36" s="2">
        <v>0.78</v>
      </c>
      <c r="DP36" s="2">
        <v>3.98</v>
      </c>
      <c r="DQ36" s="2">
        <v>3.74</v>
      </c>
      <c r="DR36" s="2" t="s">
        <v>137</v>
      </c>
      <c r="DS36" s="2">
        <v>14.47</v>
      </c>
      <c r="DT36" s="2">
        <v>10.91</v>
      </c>
      <c r="DU36" s="2" t="s">
        <v>137</v>
      </c>
      <c r="DV36" s="2">
        <v>21.26</v>
      </c>
      <c r="DW36" s="2" t="s">
        <v>137</v>
      </c>
      <c r="DX36" s="2">
        <v>0.44</v>
      </c>
      <c r="DY36" s="2">
        <v>0</v>
      </c>
      <c r="DZ36" s="2">
        <v>38</v>
      </c>
      <c r="EA36" s="2">
        <v>15</v>
      </c>
      <c r="EB36" s="2">
        <v>1</v>
      </c>
      <c r="EC36" s="2">
        <v>53</v>
      </c>
      <c r="ED36" s="2">
        <v>0</v>
      </c>
    </row>
    <row r="37" spans="1:134" hidden="1" x14ac:dyDescent="0.2">
      <c r="A37" s="2" t="s">
        <v>287</v>
      </c>
      <c r="B37" s="2" t="s">
        <v>288</v>
      </c>
      <c r="C37" s="2" t="s">
        <v>135</v>
      </c>
      <c r="D37" s="2" t="s">
        <v>163</v>
      </c>
      <c r="E37" s="2">
        <v>321752800</v>
      </c>
      <c r="F37" s="2">
        <v>34.409999999999997</v>
      </c>
      <c r="G37" s="2">
        <v>33.96</v>
      </c>
      <c r="H37" s="2">
        <v>33.54</v>
      </c>
      <c r="I37" s="2">
        <v>33.97</v>
      </c>
      <c r="J37" s="2">
        <v>33.85</v>
      </c>
      <c r="K37" s="2">
        <v>34.15</v>
      </c>
      <c r="L37" s="2">
        <v>34.25</v>
      </c>
      <c r="M37" s="2">
        <v>34.1</v>
      </c>
      <c r="N37" s="2">
        <v>33.96</v>
      </c>
      <c r="O37" s="2">
        <v>34.229999999999997</v>
      </c>
      <c r="P37" s="2">
        <v>0.9</v>
      </c>
      <c r="Q37" s="2">
        <v>32.86</v>
      </c>
      <c r="R37" s="2">
        <v>36.28</v>
      </c>
      <c r="S37" s="2">
        <v>34.28</v>
      </c>
      <c r="T37" s="2">
        <v>0.1</v>
      </c>
      <c r="U37" s="2">
        <v>33.64</v>
      </c>
      <c r="V37" s="2">
        <v>33.31</v>
      </c>
      <c r="W37" s="2">
        <v>32.700000000000003</v>
      </c>
      <c r="X37" s="2">
        <v>31.95</v>
      </c>
      <c r="Y37" s="2">
        <v>34.68</v>
      </c>
      <c r="Z37" s="2">
        <v>35.17</v>
      </c>
      <c r="AA37" s="2">
        <v>35.74</v>
      </c>
      <c r="AB37" s="2">
        <v>44600</v>
      </c>
      <c r="AC37" s="2">
        <v>56000</v>
      </c>
      <c r="AD37" s="2">
        <v>36400</v>
      </c>
      <c r="AE37" s="2">
        <v>35200</v>
      </c>
      <c r="AF37" s="2">
        <v>32300</v>
      </c>
      <c r="AG37" s="2">
        <f>AVERAGE(AB37:AF37)</f>
        <v>40900</v>
      </c>
      <c r="AH37" s="2">
        <v>0</v>
      </c>
      <c r="AI37" s="2">
        <v>1</v>
      </c>
      <c r="AJ37" s="2">
        <v>1</v>
      </c>
      <c r="AK37" s="2">
        <v>0</v>
      </c>
      <c r="AL37" s="2">
        <v>1</v>
      </c>
      <c r="AM37" s="2">
        <v>0</v>
      </c>
      <c r="AN37" s="2">
        <v>1</v>
      </c>
      <c r="AO37" s="2">
        <v>0</v>
      </c>
      <c r="AP37" s="2">
        <v>0</v>
      </c>
      <c r="AQ37" s="2">
        <v>1</v>
      </c>
      <c r="AR37" s="2">
        <v>1</v>
      </c>
      <c r="AS37" s="2">
        <v>26.48</v>
      </c>
      <c r="AT37" s="2">
        <v>35.01</v>
      </c>
      <c r="AU37" s="2">
        <v>90.9</v>
      </c>
      <c r="AV37" s="2">
        <v>9.1</v>
      </c>
      <c r="AW37" s="2">
        <v>0</v>
      </c>
      <c r="AX37" s="2">
        <v>0</v>
      </c>
      <c r="AY37" s="2">
        <v>52.1</v>
      </c>
      <c r="AZ37" s="2">
        <v>52.2</v>
      </c>
      <c r="BA37" s="2">
        <v>54</v>
      </c>
      <c r="BB37" s="2">
        <v>53.4</v>
      </c>
      <c r="BC37" s="2">
        <v>54.8</v>
      </c>
      <c r="BD37" s="2">
        <v>0</v>
      </c>
      <c r="BE37" s="2">
        <v>72.2</v>
      </c>
      <c r="BF37" s="2">
        <v>67.900000000000006</v>
      </c>
      <c r="BG37" s="2">
        <v>0</v>
      </c>
      <c r="BH37" s="2">
        <v>0</v>
      </c>
      <c r="BI37" s="2">
        <v>12.6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 t="s">
        <v>137</v>
      </c>
      <c r="BV37" s="2">
        <v>37.833329999999997</v>
      </c>
      <c r="BW37" s="2">
        <v>38</v>
      </c>
      <c r="BX37" s="2">
        <v>37.5</v>
      </c>
      <c r="BY37" s="2">
        <v>0</v>
      </c>
      <c r="BZ37" s="2">
        <v>3</v>
      </c>
      <c r="CA37" s="2">
        <v>0</v>
      </c>
      <c r="CB37" s="2">
        <v>0</v>
      </c>
      <c r="CC37" s="2">
        <v>0</v>
      </c>
      <c r="CD37" s="2">
        <v>3</v>
      </c>
      <c r="CE37" s="2">
        <v>3</v>
      </c>
      <c r="CF37" s="2">
        <v>0</v>
      </c>
      <c r="CG37" s="2">
        <v>0</v>
      </c>
      <c r="CH37" s="2" t="s">
        <v>152</v>
      </c>
      <c r="CI37" s="2">
        <v>10.5</v>
      </c>
      <c r="CJ37" s="2" t="s">
        <v>139</v>
      </c>
      <c r="CK37" s="2">
        <v>1</v>
      </c>
      <c r="CL37" s="2">
        <v>37.83</v>
      </c>
      <c r="CM37" s="2" t="s">
        <v>289</v>
      </c>
      <c r="CN37" s="2">
        <v>2.12E-2</v>
      </c>
      <c r="CO37" s="2">
        <v>4.03</v>
      </c>
      <c r="CP37" s="2">
        <v>3</v>
      </c>
      <c r="CQ37" s="2" t="s">
        <v>137</v>
      </c>
      <c r="CR37" s="2">
        <v>0.80332999999999999</v>
      </c>
      <c r="CS37" s="2">
        <v>0.75333000000000006</v>
      </c>
      <c r="CT37" s="2">
        <v>4.9999999999999933E-2</v>
      </c>
      <c r="CU37" s="2">
        <v>0.80332999999999999</v>
      </c>
      <c r="CV37" s="2">
        <v>3</v>
      </c>
      <c r="CW37" s="2">
        <v>0.13789999999999999</v>
      </c>
      <c r="CX37" s="2">
        <v>0.22359999999999999</v>
      </c>
      <c r="CY37" s="2">
        <v>12.77</v>
      </c>
      <c r="CZ37" s="2">
        <v>10.31</v>
      </c>
      <c r="DA37" s="2" t="s">
        <v>177</v>
      </c>
      <c r="DB37" s="2">
        <v>0</v>
      </c>
      <c r="DC37" s="2">
        <v>1</v>
      </c>
      <c r="DD37" s="2">
        <v>0.5</v>
      </c>
      <c r="DE37" s="2">
        <v>0</v>
      </c>
      <c r="DF37" s="2">
        <v>0</v>
      </c>
      <c r="DG37" s="2">
        <v>17579000</v>
      </c>
      <c r="DH37" s="2">
        <v>5.46</v>
      </c>
      <c r="DI37" s="2">
        <v>19.91</v>
      </c>
      <c r="DJ37" s="2">
        <v>18689000</v>
      </c>
      <c r="DK37" s="2">
        <v>-1110000</v>
      </c>
      <c r="DL37" s="2">
        <v>162183008</v>
      </c>
      <c r="DM37" s="2">
        <v>113948000</v>
      </c>
      <c r="DN37" s="2">
        <v>48235008</v>
      </c>
      <c r="DO37" s="2">
        <v>1.42</v>
      </c>
      <c r="DP37" s="2" t="s">
        <v>137</v>
      </c>
      <c r="DQ37" s="2" t="s">
        <v>137</v>
      </c>
      <c r="DR37" s="2">
        <v>1.83</v>
      </c>
      <c r="DS37" s="2">
        <v>12.77</v>
      </c>
      <c r="DT37" s="2">
        <v>10.31</v>
      </c>
      <c r="DU37" s="2">
        <v>1.83</v>
      </c>
      <c r="DV37" s="2" t="s">
        <v>137</v>
      </c>
      <c r="DW37" s="2">
        <v>18.3</v>
      </c>
      <c r="DX37" s="2">
        <v>0</v>
      </c>
      <c r="DY37" s="2">
        <v>0</v>
      </c>
      <c r="DZ37" s="2">
        <v>42</v>
      </c>
      <c r="EA37" s="2">
        <v>10</v>
      </c>
      <c r="EB37" s="2">
        <v>1</v>
      </c>
      <c r="EC37" s="2">
        <v>52</v>
      </c>
      <c r="ED37" s="2">
        <v>0</v>
      </c>
    </row>
    <row r="38" spans="1:134" hidden="1" x14ac:dyDescent="0.2">
      <c r="A38" s="2" t="s">
        <v>290</v>
      </c>
      <c r="B38" s="2" t="s">
        <v>291</v>
      </c>
      <c r="C38" s="2" t="s">
        <v>135</v>
      </c>
      <c r="D38" s="2" t="s">
        <v>163</v>
      </c>
      <c r="E38" s="2">
        <v>937296576</v>
      </c>
      <c r="F38" s="2">
        <v>16</v>
      </c>
      <c r="G38" s="2">
        <v>15.83</v>
      </c>
      <c r="H38" s="2">
        <v>15.73</v>
      </c>
      <c r="I38" s="2">
        <v>15.73</v>
      </c>
      <c r="J38" s="2">
        <v>15.73</v>
      </c>
      <c r="K38" s="2">
        <v>15.88</v>
      </c>
      <c r="L38" s="2">
        <v>15.86</v>
      </c>
      <c r="M38" s="2">
        <v>15.74</v>
      </c>
      <c r="N38" s="2">
        <v>15.75</v>
      </c>
      <c r="O38" s="2">
        <v>15.82</v>
      </c>
      <c r="P38" s="2">
        <v>0.28999999999999998</v>
      </c>
      <c r="Q38" s="2">
        <v>15.65</v>
      </c>
      <c r="R38" s="2">
        <v>16.07</v>
      </c>
      <c r="S38" s="2">
        <v>15.83</v>
      </c>
      <c r="T38" s="2">
        <v>0.1</v>
      </c>
      <c r="U38" s="2">
        <v>15.45</v>
      </c>
      <c r="V38" s="2">
        <v>15.79</v>
      </c>
      <c r="W38" s="2">
        <v>15.47</v>
      </c>
      <c r="X38" s="2">
        <v>14.45</v>
      </c>
      <c r="Y38" s="2">
        <v>16.09</v>
      </c>
      <c r="Z38" s="2">
        <v>16.46</v>
      </c>
      <c r="AA38" s="2" t="s">
        <v>137</v>
      </c>
      <c r="AB38" s="2">
        <v>291200</v>
      </c>
      <c r="AC38" s="2">
        <v>367500</v>
      </c>
      <c r="AD38" s="2">
        <v>301800</v>
      </c>
      <c r="AE38" s="2">
        <v>336100</v>
      </c>
      <c r="AF38" s="2">
        <v>348600</v>
      </c>
      <c r="AG38" s="2">
        <f>AVERAGE(AB38:AF38)</f>
        <v>329040</v>
      </c>
      <c r="AH38" s="2">
        <v>0</v>
      </c>
      <c r="AI38" s="2">
        <v>0</v>
      </c>
      <c r="AJ38" s="2">
        <v>1</v>
      </c>
      <c r="AK38" s="2">
        <v>0</v>
      </c>
      <c r="AL38" s="2">
        <v>1</v>
      </c>
      <c r="AM38" s="2">
        <v>0</v>
      </c>
      <c r="AN38" s="2">
        <v>0</v>
      </c>
      <c r="AO38" s="2">
        <v>1</v>
      </c>
      <c r="AP38" s="2">
        <v>0</v>
      </c>
      <c r="AQ38" s="2">
        <v>0</v>
      </c>
      <c r="AR38" s="2">
        <v>1</v>
      </c>
      <c r="AS38" s="2">
        <v>12.3</v>
      </c>
      <c r="AT38" s="2">
        <v>16.38</v>
      </c>
      <c r="AU38" s="2">
        <v>86.3</v>
      </c>
      <c r="AV38" s="2">
        <v>13.7</v>
      </c>
      <c r="AW38" s="2">
        <v>1</v>
      </c>
      <c r="AX38" s="2">
        <v>0</v>
      </c>
      <c r="AY38" s="2">
        <v>53.7</v>
      </c>
      <c r="AZ38" s="2">
        <v>51.2</v>
      </c>
      <c r="BA38" s="2">
        <v>54.7</v>
      </c>
      <c r="BB38" s="2">
        <v>51</v>
      </c>
      <c r="BC38" s="2">
        <v>53</v>
      </c>
      <c r="BD38" s="2">
        <v>0</v>
      </c>
      <c r="BE38" s="2">
        <v>57.4</v>
      </c>
      <c r="BF38" s="2">
        <v>56.9</v>
      </c>
      <c r="BG38" s="2">
        <v>0</v>
      </c>
      <c r="BH38" s="2">
        <v>0</v>
      </c>
      <c r="BI38" s="2">
        <v>13.3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 t="s">
        <v>137</v>
      </c>
      <c r="BV38" s="2">
        <v>17</v>
      </c>
      <c r="BW38" s="2">
        <v>18</v>
      </c>
      <c r="BX38" s="2">
        <v>16</v>
      </c>
      <c r="BY38" s="2">
        <v>1</v>
      </c>
      <c r="BZ38" s="2">
        <v>1</v>
      </c>
      <c r="CA38" s="2">
        <v>1</v>
      </c>
      <c r="CB38" s="2">
        <v>0</v>
      </c>
      <c r="CC38" s="2">
        <v>0</v>
      </c>
      <c r="CD38" s="2">
        <v>3</v>
      </c>
      <c r="CE38" s="2">
        <v>2</v>
      </c>
      <c r="CF38" s="2">
        <v>1</v>
      </c>
      <c r="CG38" s="2">
        <v>0</v>
      </c>
      <c r="CH38" s="2" t="s">
        <v>152</v>
      </c>
      <c r="CI38" s="2">
        <v>7.5</v>
      </c>
      <c r="CJ38" s="2" t="s">
        <v>139</v>
      </c>
      <c r="CK38" s="2">
        <v>1</v>
      </c>
      <c r="CL38" s="2">
        <v>17</v>
      </c>
      <c r="CM38" s="2" t="s">
        <v>292</v>
      </c>
      <c r="CN38" s="2">
        <v>3.1600002000000002E-2</v>
      </c>
      <c r="CO38" s="2">
        <v>4.79</v>
      </c>
      <c r="CP38" s="2">
        <v>2</v>
      </c>
      <c r="CQ38" s="2" t="s">
        <v>137</v>
      </c>
      <c r="CR38" s="2">
        <v>0.41</v>
      </c>
      <c r="CS38" s="2">
        <v>0.4</v>
      </c>
      <c r="CT38" s="2">
        <v>9.9999999999999534E-3</v>
      </c>
      <c r="CU38" s="2">
        <v>0.41</v>
      </c>
      <c r="CV38" s="2">
        <v>3</v>
      </c>
      <c r="CW38" s="2">
        <v>-2.3800000000000002E-2</v>
      </c>
      <c r="CX38" s="2">
        <v>6.7900000000000002E-2</v>
      </c>
      <c r="CY38" s="2">
        <v>10.69</v>
      </c>
      <c r="CZ38" s="2">
        <v>8.99</v>
      </c>
      <c r="DA38" s="2" t="s">
        <v>177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52181000</v>
      </c>
      <c r="DH38" s="2">
        <v>5.57</v>
      </c>
      <c r="DI38" s="2">
        <v>23.89</v>
      </c>
      <c r="DJ38" s="2">
        <v>60042000</v>
      </c>
      <c r="DK38" s="2">
        <v>-7861000</v>
      </c>
      <c r="DL38" s="2">
        <v>166634000</v>
      </c>
      <c r="DM38" s="2">
        <v>469217984</v>
      </c>
      <c r="DN38" s="2">
        <v>-302583984</v>
      </c>
      <c r="DO38" s="2">
        <v>0.36</v>
      </c>
      <c r="DP38" s="2" t="s">
        <v>137</v>
      </c>
      <c r="DQ38" s="2" t="s">
        <v>137</v>
      </c>
      <c r="DR38" s="2">
        <v>2.73</v>
      </c>
      <c r="DS38" s="2">
        <v>10.69</v>
      </c>
      <c r="DT38" s="2">
        <v>8.99</v>
      </c>
      <c r="DU38" s="2">
        <v>2.73</v>
      </c>
      <c r="DV38" s="2" t="s">
        <v>137</v>
      </c>
      <c r="DW38" s="2">
        <v>17.96</v>
      </c>
      <c r="DX38" s="2">
        <v>0.38</v>
      </c>
      <c r="DY38" s="2">
        <v>0</v>
      </c>
      <c r="DZ38" s="2">
        <v>30</v>
      </c>
      <c r="EA38" s="2">
        <v>10</v>
      </c>
      <c r="EB38" s="2">
        <v>1</v>
      </c>
      <c r="EC38" s="2">
        <v>40</v>
      </c>
      <c r="ED38" s="2">
        <v>0</v>
      </c>
    </row>
    <row r="39" spans="1:134" hidden="1" x14ac:dyDescent="0.2">
      <c r="A39" s="2" t="s">
        <v>293</v>
      </c>
      <c r="B39" s="2" t="s">
        <v>294</v>
      </c>
      <c r="C39" s="2" t="s">
        <v>135</v>
      </c>
      <c r="D39" s="2" t="s">
        <v>163</v>
      </c>
      <c r="E39" s="2">
        <v>445325024</v>
      </c>
      <c r="F39" s="2">
        <v>18.260000000000002</v>
      </c>
      <c r="G39" s="2">
        <v>17.97</v>
      </c>
      <c r="H39" s="2">
        <v>17.82</v>
      </c>
      <c r="I39" s="2">
        <v>17.78</v>
      </c>
      <c r="J39" s="2">
        <v>17.78</v>
      </c>
      <c r="K39" s="2">
        <v>17.95</v>
      </c>
      <c r="L39" s="2">
        <v>18.09</v>
      </c>
      <c r="M39" s="2">
        <v>17.93</v>
      </c>
      <c r="N39" s="2">
        <v>17.96</v>
      </c>
      <c r="O39" s="2">
        <v>17.989999999999998</v>
      </c>
      <c r="P39" s="2">
        <v>0.42</v>
      </c>
      <c r="Q39" s="2">
        <v>17.579999999999998</v>
      </c>
      <c r="R39" s="2">
        <v>18.600000000000001</v>
      </c>
      <c r="S39" s="2">
        <v>17.98</v>
      </c>
      <c r="T39" s="2">
        <v>-0.1</v>
      </c>
      <c r="U39" s="2">
        <v>18.12</v>
      </c>
      <c r="V39" s="2">
        <v>17.79</v>
      </c>
      <c r="W39" s="2">
        <v>17.09</v>
      </c>
      <c r="X39" s="2">
        <v>16.920000000000002</v>
      </c>
      <c r="Y39" s="2">
        <v>18.190000000000001</v>
      </c>
      <c r="Z39" s="2">
        <v>18.43</v>
      </c>
      <c r="AA39" s="2">
        <v>19.059999999999999</v>
      </c>
      <c r="AB39" s="2">
        <v>54000</v>
      </c>
      <c r="AC39" s="2">
        <v>72000</v>
      </c>
      <c r="AD39" s="2">
        <v>93300</v>
      </c>
      <c r="AE39" s="2">
        <v>109900</v>
      </c>
      <c r="AF39" s="2">
        <v>100700</v>
      </c>
      <c r="AG39" s="2">
        <f>AVERAGE(AB39:AF39)</f>
        <v>85980</v>
      </c>
      <c r="AH39" s="2">
        <v>0</v>
      </c>
      <c r="AI39" s="2">
        <v>0</v>
      </c>
      <c r="AJ39" s="2">
        <v>1</v>
      </c>
      <c r="AK39" s="2">
        <v>0</v>
      </c>
      <c r="AL39" s="2">
        <v>1</v>
      </c>
      <c r="AM39" s="2">
        <v>0</v>
      </c>
      <c r="AN39" s="2">
        <v>0</v>
      </c>
      <c r="AO39" s="2">
        <v>1</v>
      </c>
      <c r="AP39" s="2">
        <v>0</v>
      </c>
      <c r="AQ39" s="2">
        <v>0</v>
      </c>
      <c r="AR39" s="2">
        <v>0</v>
      </c>
      <c r="AS39" s="2">
        <v>14.58</v>
      </c>
      <c r="AT39" s="2">
        <v>19.02</v>
      </c>
      <c r="AU39" s="2">
        <v>76.8</v>
      </c>
      <c r="AV39" s="2">
        <v>23.2</v>
      </c>
      <c r="AW39" s="2">
        <v>0</v>
      </c>
      <c r="AX39" s="2">
        <v>0</v>
      </c>
      <c r="AY39" s="2">
        <v>46.4</v>
      </c>
      <c r="AZ39" s="2">
        <v>42.8</v>
      </c>
      <c r="BA39" s="2">
        <v>46.8</v>
      </c>
      <c r="BB39" s="2">
        <v>46.3</v>
      </c>
      <c r="BC39" s="2">
        <v>47.8</v>
      </c>
      <c r="BD39" s="2">
        <v>0</v>
      </c>
      <c r="BE39" s="2">
        <v>52.7</v>
      </c>
      <c r="BF39" s="2">
        <v>46.1</v>
      </c>
      <c r="BG39" s="2">
        <v>0</v>
      </c>
      <c r="BH39" s="2">
        <v>0</v>
      </c>
      <c r="BI39" s="2">
        <v>12.4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 t="s">
        <v>137</v>
      </c>
      <c r="BV39" s="2">
        <v>20</v>
      </c>
      <c r="BW39" s="2">
        <v>21</v>
      </c>
      <c r="BX39" s="2">
        <v>19</v>
      </c>
      <c r="BY39" s="2">
        <v>1</v>
      </c>
      <c r="BZ39" s="2">
        <v>1</v>
      </c>
      <c r="CA39" s="2">
        <v>1</v>
      </c>
      <c r="CB39" s="2">
        <v>0</v>
      </c>
      <c r="CC39" s="2">
        <v>0</v>
      </c>
      <c r="CD39" s="2">
        <v>3</v>
      </c>
      <c r="CE39" s="2">
        <v>2</v>
      </c>
      <c r="CF39" s="2">
        <v>1</v>
      </c>
      <c r="CG39" s="2">
        <v>0</v>
      </c>
      <c r="CH39" s="2" t="s">
        <v>152</v>
      </c>
      <c r="CI39" s="2">
        <v>11.2</v>
      </c>
      <c r="CJ39" s="2" t="s">
        <v>139</v>
      </c>
      <c r="CK39" s="2">
        <v>1</v>
      </c>
      <c r="CL39" s="2">
        <v>20</v>
      </c>
      <c r="CM39" s="2" t="s">
        <v>295</v>
      </c>
      <c r="CN39" s="2">
        <v>1.6299999999999999E-2</v>
      </c>
      <c r="CO39" s="2">
        <v>3.49</v>
      </c>
      <c r="CP39" s="2">
        <v>3</v>
      </c>
      <c r="CQ39" s="2" t="s">
        <v>137</v>
      </c>
      <c r="CR39" s="2">
        <v>0.44</v>
      </c>
      <c r="CS39" s="2">
        <v>0.42332999999999998</v>
      </c>
      <c r="CT39" s="2">
        <v>1.6670000000000022E-2</v>
      </c>
      <c r="CU39" s="2">
        <v>0.44</v>
      </c>
      <c r="CV39" s="2">
        <v>2</v>
      </c>
      <c r="CW39" s="2">
        <v>-6.3799999999999996E-2</v>
      </c>
      <c r="CX39" s="2">
        <v>-9.3100004E-2</v>
      </c>
      <c r="CY39" s="2">
        <v>10.52</v>
      </c>
      <c r="CZ39" s="2">
        <v>9.9700000000000006</v>
      </c>
      <c r="DA39" s="2" t="s">
        <v>214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62660000</v>
      </c>
      <c r="DH39" s="2">
        <v>14.07</v>
      </c>
      <c r="DI39" s="2">
        <v>46.69</v>
      </c>
      <c r="DJ39" s="2">
        <v>65564000</v>
      </c>
      <c r="DK39" s="2">
        <v>-2904000</v>
      </c>
      <c r="DL39" s="2">
        <v>352368992</v>
      </c>
      <c r="DM39" s="2">
        <v>297544000</v>
      </c>
      <c r="DN39" s="2">
        <v>54824992</v>
      </c>
      <c r="DO39" s="2">
        <v>1.18</v>
      </c>
      <c r="DP39" s="2" t="s">
        <v>137</v>
      </c>
      <c r="DQ39" s="2" t="s">
        <v>137</v>
      </c>
      <c r="DR39" s="2" t="s">
        <v>137</v>
      </c>
      <c r="DS39" s="2">
        <v>10.52</v>
      </c>
      <c r="DT39" s="2">
        <v>9.9700000000000006</v>
      </c>
      <c r="DU39" s="2" t="s">
        <v>137</v>
      </c>
      <c r="DV39" s="2" t="s">
        <v>137</v>
      </c>
      <c r="DW39" s="2">
        <v>7.11</v>
      </c>
      <c r="DX39" s="2">
        <v>0</v>
      </c>
      <c r="DY39" s="2">
        <v>0</v>
      </c>
      <c r="DZ39" s="2">
        <v>32</v>
      </c>
      <c r="EA39" s="2">
        <v>10</v>
      </c>
      <c r="EB39" s="2">
        <v>1</v>
      </c>
      <c r="EC39" s="2">
        <v>42</v>
      </c>
      <c r="ED39" s="2">
        <v>0</v>
      </c>
    </row>
    <row r="40" spans="1:134" hidden="1" x14ac:dyDescent="0.2">
      <c r="A40" s="2" t="s">
        <v>296</v>
      </c>
      <c r="B40" s="2" t="s">
        <v>297</v>
      </c>
      <c r="C40" s="2" t="s">
        <v>135</v>
      </c>
      <c r="D40" s="2" t="s">
        <v>163</v>
      </c>
      <c r="E40" s="2">
        <v>400504992</v>
      </c>
      <c r="F40" s="2">
        <v>16.29</v>
      </c>
      <c r="G40" s="2">
        <v>16.11</v>
      </c>
      <c r="H40" s="2">
        <v>15.98</v>
      </c>
      <c r="I40" s="2">
        <v>15.96</v>
      </c>
      <c r="J40" s="2">
        <v>15.83</v>
      </c>
      <c r="K40" s="2">
        <v>16.100000000000001</v>
      </c>
      <c r="L40" s="2">
        <v>16.25</v>
      </c>
      <c r="M40" s="2">
        <v>16.149999999999999</v>
      </c>
      <c r="N40" s="2">
        <v>16.100000000000001</v>
      </c>
      <c r="O40" s="2">
        <v>16.149999999999999</v>
      </c>
      <c r="P40" s="2">
        <v>0.33</v>
      </c>
      <c r="Q40" s="2">
        <v>15.71</v>
      </c>
      <c r="R40" s="2">
        <v>16.809999999999999</v>
      </c>
      <c r="S40" s="2">
        <v>16.149999999999999</v>
      </c>
      <c r="T40" s="2">
        <v>0</v>
      </c>
      <c r="U40" s="2">
        <v>16.07</v>
      </c>
      <c r="V40" s="2">
        <v>15.87</v>
      </c>
      <c r="W40" s="2">
        <v>15.64</v>
      </c>
      <c r="X40" s="2">
        <v>15.36</v>
      </c>
      <c r="Y40" s="2">
        <v>16.329999999999998</v>
      </c>
      <c r="Z40" s="2">
        <v>16.57</v>
      </c>
      <c r="AA40" s="2">
        <v>16.82</v>
      </c>
      <c r="AB40" s="2">
        <v>122500</v>
      </c>
      <c r="AC40" s="2">
        <v>160200</v>
      </c>
      <c r="AD40" s="2">
        <v>130700</v>
      </c>
      <c r="AE40" s="2">
        <v>89000</v>
      </c>
      <c r="AF40" s="2">
        <v>248000</v>
      </c>
      <c r="AG40" s="2">
        <f>AVERAGE(AB40:AF40)</f>
        <v>150080</v>
      </c>
      <c r="AH40" s="2">
        <v>0</v>
      </c>
      <c r="AI40" s="2">
        <v>0</v>
      </c>
      <c r="AJ40" s="2">
        <v>1</v>
      </c>
      <c r="AK40" s="2">
        <v>0</v>
      </c>
      <c r="AL40" s="2">
        <v>1</v>
      </c>
      <c r="AM40" s="2">
        <v>0</v>
      </c>
      <c r="AN40" s="2">
        <v>0</v>
      </c>
      <c r="AO40" s="2">
        <v>1</v>
      </c>
      <c r="AP40" s="2">
        <v>0</v>
      </c>
      <c r="AQ40" s="2">
        <v>0</v>
      </c>
      <c r="AR40" s="2">
        <v>1</v>
      </c>
      <c r="AS40" s="2">
        <v>9.59</v>
      </c>
      <c r="AT40" s="2">
        <v>16.670000000000002</v>
      </c>
      <c r="AU40" s="2">
        <v>92.7</v>
      </c>
      <c r="AV40" s="2">
        <v>7.3</v>
      </c>
      <c r="AW40" s="2">
        <v>0</v>
      </c>
      <c r="AX40" s="2">
        <v>0</v>
      </c>
      <c r="AY40" s="2">
        <v>50</v>
      </c>
      <c r="AZ40" s="2">
        <v>47</v>
      </c>
      <c r="BA40" s="2">
        <v>50.1</v>
      </c>
      <c r="BB40" s="2">
        <v>51.1</v>
      </c>
      <c r="BC40" s="2">
        <v>51.1</v>
      </c>
      <c r="BD40" s="2">
        <v>0</v>
      </c>
      <c r="BE40" s="2">
        <v>70.099999999999994</v>
      </c>
      <c r="BF40" s="2">
        <v>64.3</v>
      </c>
      <c r="BG40" s="2">
        <v>0</v>
      </c>
      <c r="BH40" s="2">
        <v>0</v>
      </c>
      <c r="BI40" s="2">
        <v>13</v>
      </c>
      <c r="BJ40" s="2">
        <v>0</v>
      </c>
      <c r="BK40" s="2">
        <v>0</v>
      </c>
      <c r="BL40" s="2">
        <v>0</v>
      </c>
      <c r="BM40" s="2">
        <v>1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 t="s">
        <v>137</v>
      </c>
      <c r="BV40" s="2">
        <v>19.1875</v>
      </c>
      <c r="BW40" s="2">
        <v>20</v>
      </c>
      <c r="BX40" s="2">
        <v>18</v>
      </c>
      <c r="BY40" s="2">
        <v>1</v>
      </c>
      <c r="BZ40" s="2">
        <v>3</v>
      </c>
      <c r="CA40" s="2">
        <v>0</v>
      </c>
      <c r="CB40" s="2">
        <v>0</v>
      </c>
      <c r="CC40" s="2">
        <v>0</v>
      </c>
      <c r="CD40" s="2">
        <v>4</v>
      </c>
      <c r="CE40" s="2">
        <v>4</v>
      </c>
      <c r="CF40" s="2">
        <v>0</v>
      </c>
      <c r="CG40" s="2">
        <v>0</v>
      </c>
      <c r="CH40" s="2" t="s">
        <v>152</v>
      </c>
      <c r="CI40" s="2">
        <v>18.8</v>
      </c>
      <c r="CJ40" s="2" t="s">
        <v>139</v>
      </c>
      <c r="CK40" s="2">
        <v>0</v>
      </c>
      <c r="CL40" s="2">
        <v>19.190000000000001</v>
      </c>
      <c r="CM40" s="2" t="s">
        <v>298</v>
      </c>
      <c r="CN40" s="2">
        <v>3.5000000000000003E-2</v>
      </c>
      <c r="CO40" s="2">
        <v>4.68</v>
      </c>
      <c r="CP40" s="2">
        <v>0</v>
      </c>
      <c r="CQ40" s="2" t="s">
        <v>137</v>
      </c>
      <c r="CR40" s="2">
        <v>0.42749999999999999</v>
      </c>
      <c r="CS40" s="2">
        <v>0.435</v>
      </c>
      <c r="CT40" s="2">
        <v>-7.5000000000000067E-3</v>
      </c>
      <c r="CU40" s="2">
        <v>0.42749999999999999</v>
      </c>
      <c r="CV40" s="2">
        <v>4</v>
      </c>
      <c r="CW40" s="2">
        <v>0.52680000000000005</v>
      </c>
      <c r="CX40" s="2">
        <v>2.5640999999999998</v>
      </c>
      <c r="CY40" s="2">
        <v>7.48</v>
      </c>
      <c r="CZ40" s="2">
        <v>8.32</v>
      </c>
      <c r="DA40" s="2" t="s">
        <v>214</v>
      </c>
      <c r="DB40" s="2">
        <v>0</v>
      </c>
      <c r="DC40" s="2">
        <v>0</v>
      </c>
      <c r="DD40" s="2">
        <v>1</v>
      </c>
      <c r="DE40" s="2">
        <v>0</v>
      </c>
      <c r="DF40" s="2">
        <v>0</v>
      </c>
      <c r="DG40" s="2">
        <v>9033000</v>
      </c>
      <c r="DH40" s="2">
        <v>2.2599999999999998</v>
      </c>
      <c r="DI40" s="2">
        <v>4.2300000000000004</v>
      </c>
      <c r="DJ40" s="2">
        <v>10767000</v>
      </c>
      <c r="DK40" s="2">
        <v>-1734000</v>
      </c>
      <c r="DL40" s="2">
        <v>176824992</v>
      </c>
      <c r="DM40" s="2">
        <v>448184992</v>
      </c>
      <c r="DN40" s="2">
        <v>-271360000</v>
      </c>
      <c r="DO40" s="2">
        <v>0.39</v>
      </c>
      <c r="DP40" s="2" t="s">
        <v>137</v>
      </c>
      <c r="DQ40" s="2" t="s">
        <v>137</v>
      </c>
      <c r="DR40" s="2" t="s">
        <v>137</v>
      </c>
      <c r="DS40" s="2">
        <v>7.48</v>
      </c>
      <c r="DT40" s="2">
        <v>8.32</v>
      </c>
      <c r="DU40" s="2" t="s">
        <v>137</v>
      </c>
      <c r="DV40" s="2" t="s">
        <v>137</v>
      </c>
      <c r="DW40" s="2">
        <v>44.34</v>
      </c>
      <c r="DX40" s="2">
        <v>0</v>
      </c>
      <c r="DY40" s="2">
        <v>0</v>
      </c>
      <c r="DZ40" s="2">
        <v>33</v>
      </c>
      <c r="EA40" s="2">
        <v>10</v>
      </c>
      <c r="EB40" s="2">
        <v>1</v>
      </c>
      <c r="EC40" s="2">
        <v>43</v>
      </c>
      <c r="ED40" s="2">
        <v>0</v>
      </c>
    </row>
    <row r="41" spans="1:134" x14ac:dyDescent="0.2">
      <c r="A41" s="2" t="s">
        <v>581</v>
      </c>
      <c r="B41" s="2" t="s">
        <v>582</v>
      </c>
      <c r="C41" s="2" t="s">
        <v>241</v>
      </c>
      <c r="D41" s="2" t="s">
        <v>583</v>
      </c>
      <c r="E41" s="2">
        <v>1843020160</v>
      </c>
      <c r="F41" s="2">
        <v>15.23</v>
      </c>
      <c r="G41" s="2">
        <v>14.49</v>
      </c>
      <c r="H41" s="2">
        <v>14.32</v>
      </c>
      <c r="I41" s="2">
        <v>14.55</v>
      </c>
      <c r="J41" s="2">
        <v>14.47</v>
      </c>
      <c r="K41" s="2">
        <v>14.63</v>
      </c>
      <c r="L41" s="2">
        <v>14.71</v>
      </c>
      <c r="M41" s="2">
        <v>15.12</v>
      </c>
      <c r="N41" s="2">
        <v>15.2</v>
      </c>
      <c r="O41" s="2">
        <v>15.58</v>
      </c>
      <c r="P41" s="2">
        <v>0.64</v>
      </c>
      <c r="Q41" s="2">
        <v>14.9</v>
      </c>
      <c r="R41" s="2">
        <v>16.600000000000001</v>
      </c>
      <c r="S41" s="2">
        <v>15.59</v>
      </c>
      <c r="T41" s="2">
        <v>0</v>
      </c>
      <c r="U41" s="2">
        <v>15.27</v>
      </c>
      <c r="V41" s="2">
        <v>15.22</v>
      </c>
      <c r="W41" s="2">
        <v>14.97</v>
      </c>
      <c r="X41" s="2">
        <v>14.5</v>
      </c>
      <c r="Y41" s="2">
        <v>15.84</v>
      </c>
      <c r="Z41" s="2">
        <v>16.510000000000002</v>
      </c>
      <c r="AA41" s="2">
        <v>16.77</v>
      </c>
      <c r="AB41" s="2">
        <v>2374200</v>
      </c>
      <c r="AC41" s="2">
        <v>1693800</v>
      </c>
      <c r="AD41" s="2">
        <v>1968100</v>
      </c>
      <c r="AE41" s="2">
        <v>1861500</v>
      </c>
      <c r="AF41" s="2">
        <v>1588700</v>
      </c>
      <c r="AG41" s="2">
        <f>AVERAGE(AB41:AF41)</f>
        <v>1897260</v>
      </c>
      <c r="AH41" s="2">
        <v>0</v>
      </c>
      <c r="AI41" s="2">
        <v>1</v>
      </c>
      <c r="AJ41" s="2">
        <v>1</v>
      </c>
      <c r="AK41" s="2">
        <v>1</v>
      </c>
      <c r="AL41" s="2">
        <v>1</v>
      </c>
      <c r="AM41" s="2">
        <v>0</v>
      </c>
      <c r="AN41" s="2">
        <v>1</v>
      </c>
      <c r="AO41" s="2">
        <v>0</v>
      </c>
      <c r="AP41" s="2">
        <v>1</v>
      </c>
      <c r="AQ41" s="2">
        <v>1</v>
      </c>
      <c r="AR41" s="2">
        <v>1</v>
      </c>
      <c r="AS41" s="2">
        <v>12.7</v>
      </c>
      <c r="AT41" s="2">
        <v>19.16</v>
      </c>
      <c r="AU41" s="2">
        <v>44.6</v>
      </c>
      <c r="AV41" s="2">
        <v>55.4</v>
      </c>
      <c r="AW41" s="2">
        <v>0</v>
      </c>
      <c r="AX41" s="2">
        <v>1</v>
      </c>
      <c r="AY41" s="2">
        <v>42.3</v>
      </c>
      <c r="AZ41" s="2">
        <v>42.8</v>
      </c>
      <c r="BA41" s="2">
        <v>43.6</v>
      </c>
      <c r="BB41" s="2">
        <v>48.2</v>
      </c>
      <c r="BC41" s="2">
        <v>52.2</v>
      </c>
      <c r="BD41" s="2">
        <v>0</v>
      </c>
      <c r="BE41" s="2">
        <v>42.8</v>
      </c>
      <c r="BF41" s="2">
        <v>22.3</v>
      </c>
      <c r="BG41" s="2">
        <v>0</v>
      </c>
      <c r="BH41" s="2">
        <v>0</v>
      </c>
      <c r="BI41" s="2">
        <v>10.1</v>
      </c>
      <c r="BJ41" s="2">
        <v>0</v>
      </c>
      <c r="BK41" s="2">
        <v>0</v>
      </c>
      <c r="BL41" s="2">
        <v>1</v>
      </c>
      <c r="BM41" s="2">
        <v>0</v>
      </c>
      <c r="BN41" s="2">
        <v>0</v>
      </c>
      <c r="BO41" s="2">
        <v>1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 t="s">
        <v>137</v>
      </c>
      <c r="BV41" s="2">
        <v>18.625</v>
      </c>
      <c r="BW41" s="2">
        <v>21</v>
      </c>
      <c r="BX41" s="2">
        <v>15.5</v>
      </c>
      <c r="BY41" s="2">
        <v>0</v>
      </c>
      <c r="BZ41" s="2">
        <v>3</v>
      </c>
      <c r="CA41" s="2">
        <v>1</v>
      </c>
      <c r="CB41" s="2">
        <v>0</v>
      </c>
      <c r="CC41" s="2">
        <v>0</v>
      </c>
      <c r="CD41" s="2">
        <v>4</v>
      </c>
      <c r="CE41" s="2">
        <v>3</v>
      </c>
      <c r="CF41" s="2">
        <v>1</v>
      </c>
      <c r="CG41" s="2">
        <v>0</v>
      </c>
      <c r="CH41" s="2" t="s">
        <v>152</v>
      </c>
      <c r="CI41" s="2">
        <v>19.5</v>
      </c>
      <c r="CJ41" s="2" t="s">
        <v>139</v>
      </c>
      <c r="CK41" s="2">
        <v>1</v>
      </c>
      <c r="CL41" s="2">
        <v>19.670000000000002</v>
      </c>
      <c r="CM41" s="2" t="s">
        <v>584</v>
      </c>
      <c r="CN41" s="2">
        <v>0.1583</v>
      </c>
      <c r="CO41" s="2">
        <v>7.82</v>
      </c>
      <c r="CP41" s="2">
        <v>1</v>
      </c>
      <c r="CQ41" s="2" t="s">
        <v>137</v>
      </c>
      <c r="CR41" s="2">
        <v>0.05</v>
      </c>
      <c r="CS41" s="2">
        <v>0.04</v>
      </c>
      <c r="CT41" s="2">
        <v>0.01</v>
      </c>
      <c r="CU41" s="2">
        <v>0.05</v>
      </c>
      <c r="CV41" s="2">
        <v>1</v>
      </c>
      <c r="CW41" s="2">
        <v>1.8332999999999999</v>
      </c>
      <c r="CX41" s="2">
        <v>0.90620005000000003</v>
      </c>
      <c r="CY41" s="2">
        <v>34.619999999999997</v>
      </c>
      <c r="CZ41" s="2">
        <v>11.94</v>
      </c>
      <c r="DA41" s="2" t="s">
        <v>154</v>
      </c>
      <c r="DB41" s="2">
        <v>0</v>
      </c>
      <c r="DC41" s="2">
        <v>1</v>
      </c>
      <c r="DD41" s="2">
        <v>3.5</v>
      </c>
      <c r="DE41" s="2">
        <v>0</v>
      </c>
      <c r="DF41" s="2">
        <v>0</v>
      </c>
      <c r="DG41" s="2">
        <v>108193000</v>
      </c>
      <c r="DH41" s="2">
        <v>5.87</v>
      </c>
      <c r="DI41" s="2">
        <v>7.26</v>
      </c>
      <c r="DJ41" s="2">
        <v>136869000</v>
      </c>
      <c r="DK41" s="2">
        <v>-28676000</v>
      </c>
      <c r="DL41" s="2">
        <v>261026000</v>
      </c>
      <c r="DM41" s="2">
        <v>56823000</v>
      </c>
      <c r="DN41" s="2">
        <v>204203000</v>
      </c>
      <c r="DO41" s="2">
        <v>4.59</v>
      </c>
      <c r="DP41" s="2">
        <v>1.61</v>
      </c>
      <c r="DQ41" s="2">
        <v>1.03</v>
      </c>
      <c r="DR41" s="2" t="s">
        <v>137</v>
      </c>
      <c r="DS41" s="2">
        <v>34.619999999999997</v>
      </c>
      <c r="DT41" s="2">
        <v>11.94</v>
      </c>
      <c r="DU41" s="2" t="s">
        <v>137</v>
      </c>
      <c r="DV41" s="2">
        <v>14.71</v>
      </c>
      <c r="DW41" s="2">
        <v>17.03</v>
      </c>
      <c r="DX41" s="2">
        <v>0</v>
      </c>
      <c r="DY41" s="2">
        <v>0</v>
      </c>
      <c r="DZ41" s="2">
        <v>48</v>
      </c>
      <c r="EA41" s="2">
        <v>20</v>
      </c>
      <c r="EB41" s="2">
        <v>2</v>
      </c>
      <c r="EC41" s="2">
        <v>68</v>
      </c>
      <c r="ED41" s="2">
        <v>0</v>
      </c>
    </row>
    <row r="42" spans="1:134" hidden="1" x14ac:dyDescent="0.2">
      <c r="A42" t="s">
        <v>304</v>
      </c>
      <c r="B42" t="s">
        <v>305</v>
      </c>
      <c r="C42" t="s">
        <v>135</v>
      </c>
      <c r="D42" t="s">
        <v>163</v>
      </c>
      <c r="E42">
        <v>332731072</v>
      </c>
      <c r="F42">
        <v>18.600000000000001</v>
      </c>
      <c r="G42">
        <v>18.39</v>
      </c>
      <c r="H42">
        <v>18.22</v>
      </c>
      <c r="I42">
        <v>18.29</v>
      </c>
      <c r="J42">
        <v>18.29</v>
      </c>
      <c r="K42">
        <v>18.43</v>
      </c>
      <c r="L42">
        <v>18.61</v>
      </c>
      <c r="M42">
        <v>18.47</v>
      </c>
      <c r="N42">
        <v>18.47</v>
      </c>
      <c r="O42">
        <v>18.45</v>
      </c>
      <c r="P42">
        <v>0.42</v>
      </c>
      <c r="Q42">
        <v>17.87</v>
      </c>
      <c r="R42">
        <v>19.32</v>
      </c>
      <c r="S42">
        <v>18.41</v>
      </c>
      <c r="T42">
        <v>-0.2</v>
      </c>
      <c r="U42">
        <v>18.25</v>
      </c>
      <c r="V42">
        <v>18.079999999999998</v>
      </c>
      <c r="W42">
        <v>17.79</v>
      </c>
      <c r="X42">
        <v>17.27</v>
      </c>
      <c r="Y42">
        <v>18.8</v>
      </c>
      <c r="Z42">
        <v>19.04</v>
      </c>
      <c r="AA42" t="s">
        <v>137</v>
      </c>
      <c r="AB42">
        <v>61100</v>
      </c>
      <c r="AC42">
        <v>62200</v>
      </c>
      <c r="AD42">
        <v>50400</v>
      </c>
      <c r="AE42">
        <v>63300</v>
      </c>
      <c r="AF42">
        <v>50600</v>
      </c>
      <c r="AG42" s="2">
        <f>AVERAGE(AB42:AF42)</f>
        <v>57520</v>
      </c>
      <c r="AH42">
        <v>0</v>
      </c>
      <c r="AI42">
        <v>1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11.98</v>
      </c>
      <c r="AT42">
        <v>19.03</v>
      </c>
      <c r="AU42">
        <v>91.8</v>
      </c>
      <c r="AV42">
        <v>8.1999999999999993</v>
      </c>
      <c r="AW42">
        <v>0</v>
      </c>
      <c r="AX42">
        <v>0</v>
      </c>
      <c r="AY42">
        <v>50.5</v>
      </c>
      <c r="AZ42">
        <v>48.4</v>
      </c>
      <c r="BA42">
        <v>51.4</v>
      </c>
      <c r="BB42">
        <v>52.3</v>
      </c>
      <c r="BC42">
        <v>51.8</v>
      </c>
      <c r="BD42">
        <v>0</v>
      </c>
      <c r="BE42">
        <v>53.9</v>
      </c>
      <c r="BF42">
        <v>47</v>
      </c>
      <c r="BG42">
        <v>0</v>
      </c>
      <c r="BH42">
        <v>0</v>
      </c>
      <c r="BI42">
        <v>21.7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 t="s">
        <v>137</v>
      </c>
      <c r="BV42">
        <v>19.375</v>
      </c>
      <c r="BW42">
        <v>21</v>
      </c>
      <c r="BX42">
        <v>17.75</v>
      </c>
      <c r="BY42">
        <v>1</v>
      </c>
      <c r="BZ42">
        <v>0</v>
      </c>
      <c r="CA42">
        <v>1</v>
      </c>
      <c r="CB42">
        <v>0</v>
      </c>
      <c r="CC42">
        <v>0</v>
      </c>
      <c r="CD42">
        <v>2</v>
      </c>
      <c r="CE42">
        <v>1</v>
      </c>
      <c r="CF42">
        <v>1</v>
      </c>
      <c r="CG42">
        <v>0</v>
      </c>
      <c r="CH42" t="s">
        <v>152</v>
      </c>
      <c r="CI42">
        <v>5</v>
      </c>
      <c r="CJ42" t="s">
        <v>139</v>
      </c>
      <c r="CK42">
        <v>0</v>
      </c>
      <c r="CL42">
        <v>19.38</v>
      </c>
      <c r="CM42" t="s">
        <v>306</v>
      </c>
      <c r="CN42">
        <v>2.3400000000000001E-2</v>
      </c>
      <c r="CO42">
        <v>4.7</v>
      </c>
      <c r="CP42">
        <v>0</v>
      </c>
      <c r="CQ42" t="s">
        <v>137</v>
      </c>
      <c r="CR42">
        <v>0.39</v>
      </c>
      <c r="CS42">
        <v>0.38</v>
      </c>
      <c r="CT42">
        <v>1.0000000000000011E-2</v>
      </c>
      <c r="CU42">
        <v>0.39</v>
      </c>
      <c r="CV42">
        <v>1</v>
      </c>
      <c r="CW42">
        <v>0.2581</v>
      </c>
      <c r="CX42">
        <v>0.31669999999999998</v>
      </c>
      <c r="CY42">
        <v>12.9</v>
      </c>
      <c r="CZ42">
        <v>11.46</v>
      </c>
      <c r="DA42" t="s">
        <v>205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23812000</v>
      </c>
      <c r="DH42">
        <v>7.16</v>
      </c>
      <c r="DI42">
        <v>32.700000000000003</v>
      </c>
      <c r="DJ42">
        <v>23859000</v>
      </c>
      <c r="DK42">
        <v>-47000</v>
      </c>
      <c r="DL42">
        <v>252946000</v>
      </c>
      <c r="DM42">
        <v>32120000</v>
      </c>
      <c r="DN42">
        <v>220826000</v>
      </c>
      <c r="DO42">
        <v>7.88</v>
      </c>
      <c r="DP42" t="s">
        <v>137</v>
      </c>
      <c r="DQ42" t="s">
        <v>137</v>
      </c>
      <c r="DR42" t="s">
        <v>137</v>
      </c>
      <c r="DS42">
        <v>12.9</v>
      </c>
      <c r="DT42">
        <v>11.46</v>
      </c>
      <c r="DU42" t="s">
        <v>137</v>
      </c>
      <c r="DV42" t="s">
        <v>137</v>
      </c>
      <c r="DW42">
        <v>13.97</v>
      </c>
      <c r="DX42">
        <v>0.11</v>
      </c>
      <c r="DY42">
        <v>0</v>
      </c>
      <c r="DZ42">
        <v>42</v>
      </c>
      <c r="EA42">
        <v>10</v>
      </c>
      <c r="EB42">
        <v>1</v>
      </c>
      <c r="EC42">
        <v>52</v>
      </c>
      <c r="ED42">
        <v>0</v>
      </c>
    </row>
    <row r="43" spans="1:134" hidden="1" x14ac:dyDescent="0.2">
      <c r="A43" t="s">
        <v>626</v>
      </c>
      <c r="B43" t="s">
        <v>627</v>
      </c>
      <c r="C43" t="s">
        <v>309</v>
      </c>
      <c r="D43" t="s">
        <v>628</v>
      </c>
      <c r="E43">
        <v>1602755584</v>
      </c>
      <c r="F43">
        <v>20.77</v>
      </c>
      <c r="G43">
        <v>20.05</v>
      </c>
      <c r="H43">
        <v>19.899999999999999</v>
      </c>
      <c r="I43">
        <v>19.59</v>
      </c>
      <c r="J43">
        <v>19.47</v>
      </c>
      <c r="K43">
        <v>19.29</v>
      </c>
      <c r="L43">
        <v>19.649999999999999</v>
      </c>
      <c r="M43">
        <v>19.93</v>
      </c>
      <c r="N43">
        <v>19.739999999999998</v>
      </c>
      <c r="O43">
        <v>19.53</v>
      </c>
      <c r="P43">
        <v>0.73</v>
      </c>
      <c r="Q43">
        <v>18.78</v>
      </c>
      <c r="R43">
        <v>20.66</v>
      </c>
      <c r="S43">
        <v>19.53</v>
      </c>
      <c r="T43">
        <v>0</v>
      </c>
      <c r="U43">
        <v>19.29</v>
      </c>
      <c r="V43">
        <v>19.14</v>
      </c>
      <c r="W43">
        <v>18.14</v>
      </c>
      <c r="X43">
        <v>17.690000000000001</v>
      </c>
      <c r="Y43">
        <v>19.649999999999999</v>
      </c>
      <c r="Z43">
        <v>20.85</v>
      </c>
      <c r="AA43">
        <v>21.36</v>
      </c>
      <c r="AB43">
        <v>682200</v>
      </c>
      <c r="AC43">
        <v>556300</v>
      </c>
      <c r="AD43">
        <v>481700</v>
      </c>
      <c r="AE43">
        <v>646300</v>
      </c>
      <c r="AF43">
        <v>660600</v>
      </c>
      <c r="AG43" s="2">
        <f>AVERAGE(AB43:AF43)</f>
        <v>605420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1</v>
      </c>
      <c r="AS43">
        <v>14.65</v>
      </c>
      <c r="AT43">
        <v>30.65</v>
      </c>
      <c r="AU43">
        <v>30.5</v>
      </c>
      <c r="AV43">
        <v>69.5</v>
      </c>
      <c r="AW43">
        <v>1</v>
      </c>
      <c r="AX43">
        <v>0</v>
      </c>
      <c r="AY43">
        <v>52.4</v>
      </c>
      <c r="AZ43">
        <v>49.1</v>
      </c>
      <c r="BA43">
        <v>47</v>
      </c>
      <c r="BB43">
        <v>51.7</v>
      </c>
      <c r="BC43">
        <v>48.8</v>
      </c>
      <c r="BD43">
        <v>1</v>
      </c>
      <c r="BE43">
        <v>17.7</v>
      </c>
      <c r="BF43">
        <v>17.3</v>
      </c>
      <c r="BG43">
        <v>0</v>
      </c>
      <c r="BH43">
        <v>0</v>
      </c>
      <c r="BI43">
        <v>17.600000000000001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2</v>
      </c>
      <c r="BV43">
        <v>24.3</v>
      </c>
      <c r="BW43">
        <v>31</v>
      </c>
      <c r="BX43">
        <v>19</v>
      </c>
      <c r="BY43">
        <v>1</v>
      </c>
      <c r="BZ43">
        <v>5</v>
      </c>
      <c r="CA43">
        <v>5</v>
      </c>
      <c r="CB43">
        <v>0</v>
      </c>
      <c r="CC43">
        <v>0</v>
      </c>
      <c r="CD43">
        <v>11</v>
      </c>
      <c r="CE43">
        <v>6</v>
      </c>
      <c r="CF43">
        <v>5</v>
      </c>
      <c r="CG43">
        <v>0</v>
      </c>
      <c r="CH43" t="s">
        <v>138</v>
      </c>
      <c r="CI43">
        <v>24.4</v>
      </c>
      <c r="CJ43" t="s">
        <v>139</v>
      </c>
      <c r="CK43">
        <v>1</v>
      </c>
      <c r="CL43">
        <v>24.3</v>
      </c>
      <c r="CM43" t="s">
        <v>629</v>
      </c>
      <c r="CN43">
        <v>0.1182</v>
      </c>
      <c r="CO43">
        <v>7.02</v>
      </c>
      <c r="CP43">
        <v>10</v>
      </c>
      <c r="CQ43" t="s">
        <v>137</v>
      </c>
      <c r="CR43">
        <v>0.45545000000000002</v>
      </c>
      <c r="CS43">
        <v>0.45606000000000002</v>
      </c>
      <c r="CT43">
        <v>-6.0999999999999943E-4</v>
      </c>
      <c r="CU43">
        <v>0.45545000000000002</v>
      </c>
      <c r="CV43">
        <v>10</v>
      </c>
      <c r="CW43">
        <v>0.2651</v>
      </c>
      <c r="CX43">
        <v>0.21920000000000001</v>
      </c>
      <c r="CY43">
        <v>15.26</v>
      </c>
      <c r="CZ43">
        <v>10.56</v>
      </c>
      <c r="DA43" t="s">
        <v>282</v>
      </c>
      <c r="DB43">
        <v>1</v>
      </c>
      <c r="DC43">
        <v>0</v>
      </c>
      <c r="DD43">
        <v>1</v>
      </c>
      <c r="DE43">
        <v>0</v>
      </c>
      <c r="DF43">
        <v>0</v>
      </c>
      <c r="DG43">
        <v>125500000</v>
      </c>
      <c r="DH43">
        <v>7.83</v>
      </c>
      <c r="DI43">
        <v>6.43</v>
      </c>
      <c r="DJ43">
        <v>140000000</v>
      </c>
      <c r="DK43">
        <v>-14500000</v>
      </c>
      <c r="DL43">
        <v>158500000</v>
      </c>
      <c r="DM43">
        <v>745400000</v>
      </c>
      <c r="DN43">
        <v>-586900000</v>
      </c>
      <c r="DO43">
        <v>0.21</v>
      </c>
      <c r="DP43">
        <v>1.55</v>
      </c>
      <c r="DQ43">
        <v>0.8</v>
      </c>
      <c r="DR43">
        <v>2.36</v>
      </c>
      <c r="DS43">
        <v>15.26</v>
      </c>
      <c r="DT43">
        <v>10.56</v>
      </c>
      <c r="DU43">
        <v>2.36</v>
      </c>
      <c r="DV43">
        <v>11.16</v>
      </c>
      <c r="DW43">
        <v>12.77</v>
      </c>
      <c r="DX43">
        <v>2.59</v>
      </c>
      <c r="DY43">
        <v>0</v>
      </c>
      <c r="DZ43">
        <v>48</v>
      </c>
      <c r="EA43">
        <v>20</v>
      </c>
      <c r="EB43">
        <v>2</v>
      </c>
      <c r="EC43">
        <v>68</v>
      </c>
      <c r="ED43">
        <v>1</v>
      </c>
    </row>
    <row r="44" spans="1:134" hidden="1" x14ac:dyDescent="0.2">
      <c r="A44" t="s">
        <v>313</v>
      </c>
      <c r="B44" t="s">
        <v>314</v>
      </c>
      <c r="C44" t="s">
        <v>135</v>
      </c>
      <c r="D44" t="s">
        <v>151</v>
      </c>
      <c r="E44">
        <v>439887008</v>
      </c>
      <c r="F44">
        <v>20.100000000000001</v>
      </c>
      <c r="G44">
        <v>19.899999999999999</v>
      </c>
      <c r="H44">
        <v>19.89</v>
      </c>
      <c r="I44">
        <v>19.68</v>
      </c>
      <c r="J44">
        <v>19.5</v>
      </c>
      <c r="K44">
        <v>19.38</v>
      </c>
      <c r="L44">
        <v>19.53</v>
      </c>
      <c r="M44">
        <v>19.48</v>
      </c>
      <c r="N44">
        <v>19.559999999999999</v>
      </c>
      <c r="O44">
        <v>19.47</v>
      </c>
      <c r="P44">
        <v>0.32</v>
      </c>
      <c r="Q44">
        <v>19.010000000000002</v>
      </c>
      <c r="R44">
        <v>20.16</v>
      </c>
      <c r="S44">
        <v>19.46</v>
      </c>
      <c r="T44">
        <v>0</v>
      </c>
      <c r="U44">
        <v>19.579999999999998</v>
      </c>
      <c r="V44">
        <v>19.170000000000002</v>
      </c>
      <c r="W44">
        <v>18.850000000000001</v>
      </c>
      <c r="X44">
        <v>18.63</v>
      </c>
      <c r="Y44">
        <v>19.59</v>
      </c>
      <c r="Z44">
        <v>19.989999999999998</v>
      </c>
      <c r="AA44">
        <v>20.37</v>
      </c>
      <c r="AB44">
        <v>202000</v>
      </c>
      <c r="AC44">
        <v>148500</v>
      </c>
      <c r="AD44">
        <v>144700</v>
      </c>
      <c r="AE44">
        <v>87800</v>
      </c>
      <c r="AF44">
        <v>116600</v>
      </c>
      <c r="AG44" s="2">
        <f>AVERAGE(AB44:AF44)</f>
        <v>139920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16.55</v>
      </c>
      <c r="AT44">
        <v>23.62</v>
      </c>
      <c r="AU44">
        <v>41.3</v>
      </c>
      <c r="AV44">
        <v>58.7</v>
      </c>
      <c r="AW44">
        <v>0</v>
      </c>
      <c r="AX44">
        <v>0</v>
      </c>
      <c r="AY44">
        <v>53.7</v>
      </c>
      <c r="AZ44">
        <v>48.4</v>
      </c>
      <c r="BA44">
        <v>42.3</v>
      </c>
      <c r="BB44">
        <v>44.8</v>
      </c>
      <c r="BC44">
        <v>44.6</v>
      </c>
      <c r="BD44">
        <v>1</v>
      </c>
      <c r="BE44">
        <v>8.1999999999999993</v>
      </c>
      <c r="BF44">
        <v>4.3</v>
      </c>
      <c r="BG44">
        <v>0</v>
      </c>
      <c r="BH44">
        <v>0</v>
      </c>
      <c r="BI44">
        <v>15.5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 t="s">
        <v>137</v>
      </c>
      <c r="BV44">
        <v>22</v>
      </c>
      <c r="BW44">
        <v>22</v>
      </c>
      <c r="BX44">
        <v>22</v>
      </c>
      <c r="BY44">
        <v>0</v>
      </c>
      <c r="BZ44">
        <v>3</v>
      </c>
      <c r="CA44">
        <v>2</v>
      </c>
      <c r="CB44">
        <v>0</v>
      </c>
      <c r="CC44">
        <v>0</v>
      </c>
      <c r="CD44">
        <v>5</v>
      </c>
      <c r="CE44">
        <v>3</v>
      </c>
      <c r="CF44">
        <v>2</v>
      </c>
      <c r="CG44">
        <v>0</v>
      </c>
      <c r="CH44" t="s">
        <v>152</v>
      </c>
      <c r="CI44">
        <v>13</v>
      </c>
      <c r="CJ44" t="s">
        <v>139</v>
      </c>
      <c r="CK44">
        <v>1</v>
      </c>
      <c r="CL44">
        <v>22</v>
      </c>
      <c r="CM44" t="s">
        <v>315</v>
      </c>
      <c r="CN44">
        <v>4.2500000000000003E-2</v>
      </c>
      <c r="CO44">
        <v>5.5</v>
      </c>
      <c r="CP44">
        <v>2</v>
      </c>
      <c r="CQ44" t="s">
        <v>137</v>
      </c>
      <c r="CR44">
        <v>0.47799999999999998</v>
      </c>
      <c r="CS44">
        <v>0.48399999999999999</v>
      </c>
      <c r="CT44">
        <v>-6.0000000000000053E-3</v>
      </c>
      <c r="CU44">
        <v>0.47799999999999998</v>
      </c>
      <c r="CV44">
        <v>5</v>
      </c>
      <c r="CW44">
        <v>-8.0799999999999997E-2</v>
      </c>
      <c r="CX44">
        <v>-2.3800000000000002E-2</v>
      </c>
      <c r="CY44">
        <v>9.14</v>
      </c>
      <c r="CZ44">
        <v>9.8800000000000008</v>
      </c>
      <c r="DA44" t="s">
        <v>210</v>
      </c>
      <c r="DB44">
        <v>1</v>
      </c>
      <c r="DC44">
        <v>0</v>
      </c>
      <c r="DD44">
        <v>2</v>
      </c>
      <c r="DE44">
        <v>0</v>
      </c>
      <c r="DF44">
        <v>0</v>
      </c>
      <c r="DG44">
        <v>-5489000</v>
      </c>
      <c r="DH44">
        <v>-1.25</v>
      </c>
      <c r="DI44">
        <v>-5.55</v>
      </c>
      <c r="DJ44">
        <v>-5489000</v>
      </c>
      <c r="DK44" t="s">
        <v>137</v>
      </c>
      <c r="DL44">
        <v>2350000</v>
      </c>
      <c r="DM44">
        <v>429883008</v>
      </c>
      <c r="DN44">
        <v>-427533008</v>
      </c>
      <c r="DO44">
        <v>0.01</v>
      </c>
      <c r="DP44">
        <v>1.57</v>
      </c>
      <c r="DQ44">
        <v>1.28</v>
      </c>
      <c r="DR44">
        <v>2.31</v>
      </c>
      <c r="DS44">
        <v>9.14</v>
      </c>
      <c r="DT44">
        <v>9.8800000000000008</v>
      </c>
      <c r="DU44">
        <v>2.31</v>
      </c>
      <c r="DV44" t="s">
        <v>137</v>
      </c>
      <c r="DW44" t="s">
        <v>137</v>
      </c>
      <c r="DX44">
        <v>2.16</v>
      </c>
      <c r="DY44">
        <v>0</v>
      </c>
      <c r="DZ44">
        <v>23</v>
      </c>
      <c r="EA44">
        <v>10</v>
      </c>
      <c r="EB44">
        <v>1</v>
      </c>
      <c r="EC44">
        <v>33</v>
      </c>
      <c r="ED44">
        <v>0</v>
      </c>
    </row>
    <row r="45" spans="1:134" hidden="1" x14ac:dyDescent="0.2">
      <c r="A45" s="2" t="s">
        <v>316</v>
      </c>
      <c r="B45" s="2" t="s">
        <v>317</v>
      </c>
      <c r="C45" s="2" t="s">
        <v>186</v>
      </c>
      <c r="D45" s="2" t="s">
        <v>318</v>
      </c>
      <c r="E45" s="2">
        <v>1176838272</v>
      </c>
      <c r="F45" s="2">
        <v>27.25</v>
      </c>
      <c r="G45" s="2">
        <v>26.81</v>
      </c>
      <c r="H45" s="2">
        <v>26.97</v>
      </c>
      <c r="I45" s="2">
        <v>27.14</v>
      </c>
      <c r="J45" s="2">
        <v>27.16</v>
      </c>
      <c r="K45" s="2">
        <v>26.75</v>
      </c>
      <c r="L45" s="2">
        <v>26.89</v>
      </c>
      <c r="M45" s="2">
        <v>26.83</v>
      </c>
      <c r="N45" s="2">
        <v>26.4</v>
      </c>
      <c r="O45" s="2">
        <v>27</v>
      </c>
      <c r="P45" s="2">
        <v>0.87</v>
      </c>
      <c r="Q45" s="2">
        <v>25.78</v>
      </c>
      <c r="R45" s="2">
        <v>28.83</v>
      </c>
      <c r="S45" s="2">
        <v>26.99</v>
      </c>
      <c r="T45" s="2">
        <v>0</v>
      </c>
      <c r="U45" s="2">
        <v>25.87</v>
      </c>
      <c r="V45" s="2">
        <v>26.22</v>
      </c>
      <c r="W45" s="2">
        <v>25.41</v>
      </c>
      <c r="X45" s="2">
        <v>24.8</v>
      </c>
      <c r="Y45" s="2">
        <v>27.25</v>
      </c>
      <c r="Z45" s="2">
        <v>27.79</v>
      </c>
      <c r="AA45" s="2" t="s">
        <v>137</v>
      </c>
      <c r="AB45" s="2">
        <v>2486400</v>
      </c>
      <c r="AC45" s="2">
        <v>642000</v>
      </c>
      <c r="AD45" s="2">
        <v>429500</v>
      </c>
      <c r="AE45" s="2">
        <v>303500</v>
      </c>
      <c r="AF45" s="2">
        <v>654600</v>
      </c>
      <c r="AG45" s="2">
        <f>AVERAGE(AB45:AF45)</f>
        <v>903200</v>
      </c>
      <c r="AH45" s="2">
        <v>0</v>
      </c>
      <c r="AI45" s="2">
        <v>1</v>
      </c>
      <c r="AJ45" s="2">
        <v>0</v>
      </c>
      <c r="AK45" s="2">
        <v>0</v>
      </c>
      <c r="AL45" s="2">
        <v>1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1</v>
      </c>
      <c r="AS45" s="2">
        <v>15.57</v>
      </c>
      <c r="AT45" s="2">
        <v>27.65</v>
      </c>
      <c r="AU45" s="2">
        <v>94.6</v>
      </c>
      <c r="AV45" s="2">
        <v>5.4</v>
      </c>
      <c r="AW45" s="2">
        <v>0</v>
      </c>
      <c r="AX45" s="2">
        <v>1</v>
      </c>
      <c r="AY45" s="2">
        <v>55.2</v>
      </c>
      <c r="AZ45" s="2">
        <v>57.6</v>
      </c>
      <c r="BA45" s="2">
        <v>53.9</v>
      </c>
      <c r="BB45" s="2">
        <v>54.5</v>
      </c>
      <c r="BC45" s="2">
        <v>55.9</v>
      </c>
      <c r="BD45" s="2">
        <v>0</v>
      </c>
      <c r="BE45" s="2">
        <v>33.200000000000003</v>
      </c>
      <c r="BF45" s="2">
        <v>36.1</v>
      </c>
      <c r="BG45" s="2">
        <v>0</v>
      </c>
      <c r="BH45" s="2">
        <v>0</v>
      </c>
      <c r="BI45" s="2">
        <v>13.1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1.8333299999999999</v>
      </c>
      <c r="BV45" s="2">
        <v>29.5</v>
      </c>
      <c r="BW45" s="2">
        <v>32</v>
      </c>
      <c r="BX45" s="2">
        <v>28</v>
      </c>
      <c r="BY45" s="2">
        <v>1</v>
      </c>
      <c r="BZ45" s="2">
        <v>3</v>
      </c>
      <c r="CA45" s="2">
        <v>2</v>
      </c>
      <c r="CB45" s="2">
        <v>0</v>
      </c>
      <c r="CC45" s="2">
        <v>0</v>
      </c>
      <c r="CD45" s="2">
        <v>6</v>
      </c>
      <c r="CE45" s="2">
        <v>4</v>
      </c>
      <c r="CF45" s="2">
        <v>2</v>
      </c>
      <c r="CG45" s="2">
        <v>0</v>
      </c>
      <c r="CH45" s="2" t="s">
        <v>138</v>
      </c>
      <c r="CI45" s="2">
        <v>9.3000000000000007</v>
      </c>
      <c r="CJ45" s="2" t="s">
        <v>139</v>
      </c>
      <c r="CK45" s="2">
        <v>0</v>
      </c>
      <c r="CL45" s="2">
        <v>29.46</v>
      </c>
      <c r="CM45" s="2" t="s">
        <v>319</v>
      </c>
      <c r="CN45" s="2">
        <v>2.3900000000000001E-2</v>
      </c>
      <c r="CO45" s="2">
        <v>1.8</v>
      </c>
      <c r="CP45" s="2">
        <v>0</v>
      </c>
      <c r="CQ45" s="2" t="s">
        <v>137</v>
      </c>
      <c r="CR45" s="2">
        <v>0.82965999999999995</v>
      </c>
      <c r="CS45" s="2">
        <v>0.84</v>
      </c>
      <c r="CT45" s="2">
        <v>-1.0340000000000019E-2</v>
      </c>
      <c r="CU45" s="2">
        <v>0.82965999999999995</v>
      </c>
      <c r="CV45" s="2">
        <v>4</v>
      </c>
      <c r="CW45" s="2">
        <v>83.965996000000004</v>
      </c>
      <c r="CX45" s="2">
        <v>59.032499999999999</v>
      </c>
      <c r="CY45" s="2">
        <v>29.67</v>
      </c>
      <c r="CZ45" s="2">
        <v>14.86</v>
      </c>
      <c r="DA45" s="2" t="s">
        <v>244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-60545000</v>
      </c>
      <c r="DH45" s="2">
        <v>-5.14</v>
      </c>
      <c r="DI45" s="2">
        <v>-13.74</v>
      </c>
      <c r="DJ45" s="2">
        <v>31890000</v>
      </c>
      <c r="DK45" s="2">
        <v>-92435000</v>
      </c>
      <c r="DL45" s="2">
        <v>73587000</v>
      </c>
      <c r="DM45" s="2">
        <v>325200992</v>
      </c>
      <c r="DN45" s="2">
        <v>-251613992</v>
      </c>
      <c r="DO45" s="2">
        <v>0.23</v>
      </c>
      <c r="DP45" s="2">
        <v>2.97</v>
      </c>
      <c r="DQ45" s="2">
        <v>2.19</v>
      </c>
      <c r="DR45" s="2" t="s">
        <v>137</v>
      </c>
      <c r="DS45" s="2">
        <v>29.67</v>
      </c>
      <c r="DT45" s="2">
        <v>14.86</v>
      </c>
      <c r="DU45" s="2" t="s">
        <v>137</v>
      </c>
      <c r="DV45" s="2">
        <v>10.87</v>
      </c>
      <c r="DW45" s="2" t="s">
        <v>137</v>
      </c>
      <c r="DX45" s="2">
        <v>0.52</v>
      </c>
      <c r="DY45" s="2">
        <v>0</v>
      </c>
      <c r="DZ45" s="2">
        <v>42</v>
      </c>
      <c r="EA45" s="2">
        <v>20</v>
      </c>
      <c r="EB45" s="2">
        <v>2</v>
      </c>
      <c r="EC45" s="2">
        <v>62</v>
      </c>
      <c r="ED45" s="2">
        <v>0</v>
      </c>
    </row>
    <row r="46" spans="1:134" hidden="1" x14ac:dyDescent="0.2">
      <c r="A46" s="2" t="s">
        <v>320</v>
      </c>
      <c r="B46" s="2" t="s">
        <v>321</v>
      </c>
      <c r="C46" s="2" t="s">
        <v>157</v>
      </c>
      <c r="D46" s="2" t="s">
        <v>263</v>
      </c>
      <c r="E46" s="2">
        <v>622528192</v>
      </c>
      <c r="F46" s="2">
        <v>13.05</v>
      </c>
      <c r="G46" s="2">
        <v>13.09</v>
      </c>
      <c r="H46" s="2">
        <v>13.05</v>
      </c>
      <c r="I46" s="2">
        <v>12.86</v>
      </c>
      <c r="J46" s="2">
        <v>12.85</v>
      </c>
      <c r="K46" s="2">
        <v>12.78</v>
      </c>
      <c r="L46" s="2">
        <v>12.88</v>
      </c>
      <c r="M46" s="2">
        <v>12.71</v>
      </c>
      <c r="N46" s="2">
        <v>12.64</v>
      </c>
      <c r="O46" s="2">
        <v>12.75</v>
      </c>
      <c r="P46" s="2">
        <v>0.19</v>
      </c>
      <c r="Q46" s="2">
        <v>12.49</v>
      </c>
      <c r="R46" s="2">
        <v>13.14</v>
      </c>
      <c r="S46" s="2">
        <v>12.77</v>
      </c>
      <c r="T46" s="2">
        <v>0.1</v>
      </c>
      <c r="U46" s="2">
        <v>12.85</v>
      </c>
      <c r="V46" s="2">
        <v>12.58</v>
      </c>
      <c r="W46" s="2">
        <v>12.32</v>
      </c>
      <c r="X46" s="2">
        <v>12.11</v>
      </c>
      <c r="Y46" s="2">
        <v>12.9</v>
      </c>
      <c r="Z46" s="2">
        <v>13.2</v>
      </c>
      <c r="AA46" s="2" t="s">
        <v>137</v>
      </c>
      <c r="AB46" s="2">
        <v>424100</v>
      </c>
      <c r="AC46" s="2">
        <v>381000</v>
      </c>
      <c r="AD46" s="2">
        <v>297900</v>
      </c>
      <c r="AE46" s="2">
        <v>310800</v>
      </c>
      <c r="AF46" s="2">
        <v>365600</v>
      </c>
      <c r="AG46" s="2">
        <f>AVERAGE(AB46:AF46)</f>
        <v>355880</v>
      </c>
      <c r="AH46" s="2">
        <v>1</v>
      </c>
      <c r="AI46" s="2">
        <v>0</v>
      </c>
      <c r="AJ46" s="2">
        <v>0</v>
      </c>
      <c r="AK46" s="2">
        <v>0</v>
      </c>
      <c r="AL46" s="2">
        <v>1</v>
      </c>
      <c r="AM46" s="2">
        <v>0</v>
      </c>
      <c r="AN46" s="2">
        <v>0</v>
      </c>
      <c r="AO46" s="2">
        <v>0</v>
      </c>
      <c r="AP46" s="2">
        <v>0</v>
      </c>
      <c r="AQ46" s="2">
        <v>1</v>
      </c>
      <c r="AR46" s="2">
        <v>0</v>
      </c>
      <c r="AS46" s="2">
        <v>10.38</v>
      </c>
      <c r="AT46" s="2">
        <v>13.24</v>
      </c>
      <c r="AU46" s="2">
        <v>82.9</v>
      </c>
      <c r="AV46" s="2">
        <v>17.100000000000001</v>
      </c>
      <c r="AW46" s="2">
        <v>1</v>
      </c>
      <c r="AX46" s="2">
        <v>0</v>
      </c>
      <c r="AY46" s="2">
        <v>55.7</v>
      </c>
      <c r="AZ46" s="2">
        <v>47.1</v>
      </c>
      <c r="BA46" s="2">
        <v>44.5</v>
      </c>
      <c r="BB46" s="2">
        <v>42.4</v>
      </c>
      <c r="BC46" s="2">
        <v>44</v>
      </c>
      <c r="BD46" s="2">
        <v>0</v>
      </c>
      <c r="BE46" s="2">
        <v>4</v>
      </c>
      <c r="BF46" s="2">
        <v>8.1</v>
      </c>
      <c r="BG46" s="2">
        <v>0</v>
      </c>
      <c r="BH46" s="2">
        <v>0</v>
      </c>
      <c r="BI46" s="2">
        <v>11.9</v>
      </c>
      <c r="BJ46" s="2">
        <v>0</v>
      </c>
      <c r="BK46" s="2">
        <v>1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 t="s">
        <v>137</v>
      </c>
      <c r="BV46" s="2">
        <v>14.125</v>
      </c>
      <c r="BW46" s="2">
        <v>15</v>
      </c>
      <c r="BX46" s="2">
        <v>12.5</v>
      </c>
      <c r="BY46" s="2">
        <v>1</v>
      </c>
      <c r="BZ46" s="2">
        <v>2</v>
      </c>
      <c r="CA46" s="2">
        <v>1</v>
      </c>
      <c r="CB46" s="2">
        <v>0</v>
      </c>
      <c r="CC46" s="2">
        <v>0</v>
      </c>
      <c r="CD46" s="2">
        <v>4</v>
      </c>
      <c r="CE46" s="2">
        <v>3</v>
      </c>
      <c r="CF46" s="2">
        <v>1</v>
      </c>
      <c r="CG46" s="2">
        <v>0</v>
      </c>
      <c r="CH46" s="2" t="s">
        <v>152</v>
      </c>
      <c r="CI46" s="2">
        <v>10.8</v>
      </c>
      <c r="CJ46" s="2" t="s">
        <v>139</v>
      </c>
      <c r="CK46" s="2">
        <v>0</v>
      </c>
      <c r="CL46" s="2">
        <v>14.36</v>
      </c>
      <c r="CM46" s="2" t="s">
        <v>322</v>
      </c>
      <c r="CN46" s="2">
        <v>7.8700000000000006E-2</v>
      </c>
      <c r="CO46" s="2">
        <v>9.11</v>
      </c>
      <c r="CP46" s="2">
        <v>0</v>
      </c>
      <c r="CQ46" s="2" t="s">
        <v>137</v>
      </c>
      <c r="CR46" s="2">
        <v>0.05</v>
      </c>
      <c r="CS46" s="2">
        <v>4.4999999999999998E-2</v>
      </c>
      <c r="CT46" s="2">
        <v>5.0000000000000036E-3</v>
      </c>
      <c r="CU46" s="2">
        <v>0.05</v>
      </c>
      <c r="CV46" s="2">
        <v>1</v>
      </c>
      <c r="CW46" s="2">
        <v>0.37740000000000001</v>
      </c>
      <c r="CX46" s="2">
        <v>0.78569999999999995</v>
      </c>
      <c r="CY46" s="2">
        <v>51</v>
      </c>
      <c r="CZ46" s="2">
        <v>85</v>
      </c>
      <c r="DA46" s="2" t="s">
        <v>201</v>
      </c>
      <c r="DB46" s="2">
        <v>0</v>
      </c>
      <c r="DC46" s="2">
        <v>1</v>
      </c>
      <c r="DD46" s="2">
        <v>1.5</v>
      </c>
      <c r="DE46" s="2">
        <v>0</v>
      </c>
      <c r="DF46" s="2">
        <v>0</v>
      </c>
      <c r="DG46" s="2">
        <v>88151000</v>
      </c>
      <c r="DH46" s="2">
        <v>14.16</v>
      </c>
      <c r="DI46" s="2">
        <v>51.79</v>
      </c>
      <c r="DJ46" s="2">
        <v>88151000</v>
      </c>
      <c r="DK46" s="2" t="s">
        <v>137</v>
      </c>
      <c r="DL46" s="2">
        <v>18405000</v>
      </c>
      <c r="DM46" s="2">
        <v>858753984</v>
      </c>
      <c r="DN46" s="2">
        <v>-840348984</v>
      </c>
      <c r="DO46" s="2">
        <v>0.02</v>
      </c>
      <c r="DP46" s="2">
        <v>1.82</v>
      </c>
      <c r="DQ46" s="2">
        <v>1.63</v>
      </c>
      <c r="DR46" s="2">
        <v>39.840000000000003</v>
      </c>
      <c r="DS46" s="2">
        <v>51</v>
      </c>
      <c r="DT46" s="2">
        <v>85</v>
      </c>
      <c r="DU46" s="2">
        <v>39.840000000000003</v>
      </c>
      <c r="DV46" s="2">
        <v>13.4</v>
      </c>
      <c r="DW46" s="2">
        <v>7.06</v>
      </c>
      <c r="DX46" s="2">
        <v>2.6</v>
      </c>
      <c r="DY46" s="2">
        <v>0</v>
      </c>
      <c r="DZ46" s="2">
        <v>42</v>
      </c>
      <c r="EA46" s="2">
        <v>10</v>
      </c>
      <c r="EB46" s="2">
        <v>1</v>
      </c>
      <c r="EC46" s="2">
        <v>52</v>
      </c>
      <c r="ED46" s="2">
        <v>1</v>
      </c>
    </row>
    <row r="47" spans="1:134" hidden="1" x14ac:dyDescent="0.2">
      <c r="A47" s="2" t="s">
        <v>323</v>
      </c>
      <c r="B47" s="2" t="s">
        <v>324</v>
      </c>
      <c r="C47" s="2" t="s">
        <v>171</v>
      </c>
      <c r="D47" s="2" t="s">
        <v>172</v>
      </c>
      <c r="E47" s="2">
        <v>250231600</v>
      </c>
      <c r="F47" s="2">
        <v>8.9</v>
      </c>
      <c r="G47" s="2">
        <v>8.81</v>
      </c>
      <c r="H47" s="2">
        <v>8.8000000000000007</v>
      </c>
      <c r="I47" s="2">
        <v>8.7899999999999991</v>
      </c>
      <c r="J47" s="2">
        <v>8.7799999999999994</v>
      </c>
      <c r="K47" s="2">
        <v>8.77</v>
      </c>
      <c r="L47" s="2">
        <v>8.81</v>
      </c>
      <c r="M47" s="2">
        <v>8.7100000000000009</v>
      </c>
      <c r="N47" s="2">
        <v>8.66</v>
      </c>
      <c r="O47" s="2">
        <v>8.69</v>
      </c>
      <c r="P47" s="2">
        <v>0.22</v>
      </c>
      <c r="Q47" s="2">
        <v>7</v>
      </c>
      <c r="R47" s="2">
        <v>11.22</v>
      </c>
      <c r="S47" s="2">
        <v>8.73</v>
      </c>
      <c r="T47" s="2">
        <v>0.5</v>
      </c>
      <c r="U47" s="2">
        <v>7.99</v>
      </c>
      <c r="V47" s="2">
        <v>7.11</v>
      </c>
      <c r="W47" s="2">
        <v>7.02</v>
      </c>
      <c r="X47" s="2">
        <v>6.91</v>
      </c>
      <c r="Y47" s="2">
        <v>8.99</v>
      </c>
      <c r="Z47" s="2">
        <v>9.41</v>
      </c>
      <c r="AA47" s="2">
        <v>9.57</v>
      </c>
      <c r="AB47" s="2">
        <v>48900</v>
      </c>
      <c r="AC47" s="2">
        <v>123900</v>
      </c>
      <c r="AD47" s="2">
        <v>59300</v>
      </c>
      <c r="AE47" s="2">
        <v>46000</v>
      </c>
      <c r="AF47" s="2">
        <v>82400</v>
      </c>
      <c r="AG47" s="2">
        <f>AVERAGE(AB47:AF47)</f>
        <v>72100</v>
      </c>
      <c r="AH47" s="2">
        <v>0</v>
      </c>
      <c r="AI47" s="2">
        <v>0</v>
      </c>
      <c r="AJ47" s="2">
        <v>0</v>
      </c>
      <c r="AK47" s="2">
        <v>0</v>
      </c>
      <c r="AL47" s="2">
        <v>1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1</v>
      </c>
      <c r="AS47" s="2">
        <v>6.66</v>
      </c>
      <c r="AT47" s="2">
        <v>10.99</v>
      </c>
      <c r="AU47" s="2">
        <v>46.9</v>
      </c>
      <c r="AV47" s="2">
        <v>53.1</v>
      </c>
      <c r="AW47" s="2">
        <v>0</v>
      </c>
      <c r="AX47" s="2">
        <v>0</v>
      </c>
      <c r="AY47" s="2">
        <v>57.1</v>
      </c>
      <c r="AZ47" s="2">
        <v>56.5</v>
      </c>
      <c r="BA47" s="2">
        <v>55.9</v>
      </c>
      <c r="BB47" s="2">
        <v>53.9</v>
      </c>
      <c r="BC47" s="2">
        <v>53.2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46.7</v>
      </c>
      <c r="BJ47" s="2">
        <v>1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 t="s">
        <v>137</v>
      </c>
      <c r="BV47" s="2">
        <v>10.3</v>
      </c>
      <c r="BW47" s="2">
        <v>12.5</v>
      </c>
      <c r="BX47" s="2">
        <v>8.1</v>
      </c>
      <c r="BY47" s="2">
        <v>0</v>
      </c>
      <c r="BZ47" s="2">
        <v>1</v>
      </c>
      <c r="CA47" s="2">
        <v>1</v>
      </c>
      <c r="CB47" s="2">
        <v>0</v>
      </c>
      <c r="CC47" s="2">
        <v>0</v>
      </c>
      <c r="CD47" s="2">
        <v>2</v>
      </c>
      <c r="CE47" s="2">
        <v>1</v>
      </c>
      <c r="CF47" s="2">
        <v>1</v>
      </c>
      <c r="CG47" s="2">
        <v>0</v>
      </c>
      <c r="CH47" s="2" t="s">
        <v>152</v>
      </c>
      <c r="CI47" s="2">
        <v>18.5</v>
      </c>
      <c r="CJ47" s="2" t="s">
        <v>139</v>
      </c>
      <c r="CK47" s="2">
        <v>0</v>
      </c>
      <c r="CL47" s="2">
        <v>10.199999999999999</v>
      </c>
      <c r="CM47" s="2" t="s">
        <v>325</v>
      </c>
      <c r="CN47" s="2">
        <v>2.87E-2</v>
      </c>
      <c r="CO47" s="2">
        <v>3.39</v>
      </c>
      <c r="CP47" s="2">
        <v>0</v>
      </c>
      <c r="CQ47" s="2" t="s">
        <v>137</v>
      </c>
      <c r="CR47" s="2">
        <v>0.05</v>
      </c>
      <c r="CS47" s="2">
        <v>0.05</v>
      </c>
      <c r="CT47" s="2">
        <v>0</v>
      </c>
      <c r="CU47" s="2">
        <v>0.05</v>
      </c>
      <c r="CV47" s="2">
        <v>1</v>
      </c>
      <c r="CW47" s="2">
        <v>-0.25370002000000003</v>
      </c>
      <c r="CX47" s="2">
        <v>-0.35709997999999998</v>
      </c>
      <c r="CY47" s="2">
        <v>79</v>
      </c>
      <c r="CZ47" s="2">
        <v>66.849999999999994</v>
      </c>
      <c r="DA47" s="2" t="s">
        <v>154</v>
      </c>
      <c r="DB47" s="2">
        <v>0</v>
      </c>
      <c r="DC47" s="2">
        <v>0</v>
      </c>
      <c r="DD47" s="2">
        <v>0.5</v>
      </c>
      <c r="DE47" s="2">
        <v>0</v>
      </c>
      <c r="DF47" s="2">
        <v>0</v>
      </c>
      <c r="DG47" s="2">
        <v>-47153000</v>
      </c>
      <c r="DH47" s="2">
        <v>-18.84</v>
      </c>
      <c r="DI47" s="2">
        <v>-78.44</v>
      </c>
      <c r="DJ47" s="2">
        <v>20168000</v>
      </c>
      <c r="DK47" s="2">
        <v>-67321000</v>
      </c>
      <c r="DL47" s="2">
        <v>1458000</v>
      </c>
      <c r="DM47" s="2">
        <v>141740992</v>
      </c>
      <c r="DN47" s="2">
        <v>-140282992</v>
      </c>
      <c r="DO47" s="2">
        <v>0.01</v>
      </c>
      <c r="DP47" s="2">
        <v>0.68</v>
      </c>
      <c r="DQ47" s="2">
        <v>0.59</v>
      </c>
      <c r="DR47" s="2">
        <v>2.75</v>
      </c>
      <c r="DS47" s="2">
        <v>79</v>
      </c>
      <c r="DT47" s="2">
        <v>66.849999999999994</v>
      </c>
      <c r="DU47" s="2">
        <v>2.75</v>
      </c>
      <c r="DV47" s="2">
        <v>15.5</v>
      </c>
      <c r="DW47" s="2" t="s">
        <v>137</v>
      </c>
      <c r="DX47" s="2">
        <v>1.36</v>
      </c>
      <c r="DY47" s="2">
        <v>0</v>
      </c>
      <c r="DZ47" s="2">
        <v>17</v>
      </c>
      <c r="EA47" s="2">
        <v>5</v>
      </c>
      <c r="EB47" s="2">
        <v>0</v>
      </c>
      <c r="EC47" s="2">
        <v>22</v>
      </c>
      <c r="ED47" s="2">
        <v>0</v>
      </c>
    </row>
    <row r="48" spans="1:134" hidden="1" x14ac:dyDescent="0.2">
      <c r="A48" s="2" t="s">
        <v>326</v>
      </c>
      <c r="B48" s="2" t="s">
        <v>327</v>
      </c>
      <c r="C48" s="2" t="s">
        <v>135</v>
      </c>
      <c r="D48" s="2" t="s">
        <v>163</v>
      </c>
      <c r="E48" s="2">
        <v>950258624</v>
      </c>
      <c r="F48" s="2">
        <v>31.94</v>
      </c>
      <c r="G48" s="2">
        <v>31.69</v>
      </c>
      <c r="H48" s="2">
        <v>31.41</v>
      </c>
      <c r="I48" s="2">
        <v>31.46</v>
      </c>
      <c r="J48" s="2">
        <v>31.46</v>
      </c>
      <c r="K48" s="2">
        <v>31.89</v>
      </c>
      <c r="L48" s="2">
        <v>32.17</v>
      </c>
      <c r="M48" s="2">
        <v>31.8</v>
      </c>
      <c r="N48" s="2">
        <v>31.8</v>
      </c>
      <c r="O48" s="2">
        <v>32.049999999999997</v>
      </c>
      <c r="P48" s="2">
        <v>0.52</v>
      </c>
      <c r="Q48" s="2">
        <v>31.19</v>
      </c>
      <c r="R48" s="2">
        <v>33.340000000000003</v>
      </c>
      <c r="S48" s="2">
        <v>32.06</v>
      </c>
      <c r="T48" s="2">
        <v>0</v>
      </c>
      <c r="U48" s="2">
        <v>31.85</v>
      </c>
      <c r="V48" s="2">
        <v>31.45</v>
      </c>
      <c r="W48" s="2">
        <v>30.96</v>
      </c>
      <c r="X48" s="2">
        <v>30.56</v>
      </c>
      <c r="Y48" s="2">
        <v>32.159999999999997</v>
      </c>
      <c r="Z48" s="2">
        <v>32.72</v>
      </c>
      <c r="AA48" s="2">
        <v>33.5</v>
      </c>
      <c r="AB48" s="2">
        <v>156300</v>
      </c>
      <c r="AC48" s="2">
        <v>199400</v>
      </c>
      <c r="AD48" s="2">
        <v>148600</v>
      </c>
      <c r="AE48" s="2">
        <v>200200</v>
      </c>
      <c r="AF48" s="2">
        <v>222000</v>
      </c>
      <c r="AG48" s="2">
        <f>AVERAGE(AB48:AF48)</f>
        <v>185300</v>
      </c>
      <c r="AH48" s="2">
        <v>0</v>
      </c>
      <c r="AI48" s="2">
        <v>1</v>
      </c>
      <c r="AJ48" s="2">
        <v>1</v>
      </c>
      <c r="AK48" s="2">
        <v>0</v>
      </c>
      <c r="AL48" s="2">
        <v>1</v>
      </c>
      <c r="AM48" s="2">
        <v>0</v>
      </c>
      <c r="AN48" s="2">
        <v>0</v>
      </c>
      <c r="AO48" s="2">
        <v>0</v>
      </c>
      <c r="AP48" s="2">
        <v>0</v>
      </c>
      <c r="AQ48" s="2">
        <v>1</v>
      </c>
      <c r="AR48" s="2">
        <v>1</v>
      </c>
      <c r="AS48" s="2">
        <v>22.96</v>
      </c>
      <c r="AT48" s="2">
        <v>33.31</v>
      </c>
      <c r="AU48" s="2">
        <v>87.8</v>
      </c>
      <c r="AV48" s="2">
        <v>12.2</v>
      </c>
      <c r="AW48" s="2">
        <v>1</v>
      </c>
      <c r="AX48" s="2">
        <v>0</v>
      </c>
      <c r="AY48" s="2">
        <v>51.3</v>
      </c>
      <c r="AZ48" s="2">
        <v>48</v>
      </c>
      <c r="BA48" s="2">
        <v>54</v>
      </c>
      <c r="BB48" s="2">
        <v>52.6</v>
      </c>
      <c r="BC48" s="2">
        <v>55.9</v>
      </c>
      <c r="BD48" s="2">
        <v>0</v>
      </c>
      <c r="BE48" s="2">
        <v>84.3</v>
      </c>
      <c r="BF48" s="2">
        <v>74.400000000000006</v>
      </c>
      <c r="BG48" s="2">
        <v>0</v>
      </c>
      <c r="BH48" s="2">
        <v>0</v>
      </c>
      <c r="BI48" s="2">
        <v>12.3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 t="s">
        <v>137</v>
      </c>
      <c r="BV48" s="2">
        <v>34.25</v>
      </c>
      <c r="BW48" s="2">
        <v>36</v>
      </c>
      <c r="BX48" s="2">
        <v>33</v>
      </c>
      <c r="BY48" s="2">
        <v>1</v>
      </c>
      <c r="BZ48" s="2">
        <v>0</v>
      </c>
      <c r="CA48" s="2">
        <v>3</v>
      </c>
      <c r="CB48" s="2">
        <v>0</v>
      </c>
      <c r="CC48" s="2">
        <v>0</v>
      </c>
      <c r="CD48" s="2">
        <v>4</v>
      </c>
      <c r="CE48" s="2">
        <v>1</v>
      </c>
      <c r="CF48" s="2">
        <v>3</v>
      </c>
      <c r="CG48" s="2">
        <v>0</v>
      </c>
      <c r="CH48" s="2" t="s">
        <v>152</v>
      </c>
      <c r="CI48" s="2">
        <v>6.9</v>
      </c>
      <c r="CJ48" s="2" t="s">
        <v>139</v>
      </c>
      <c r="CK48" s="2">
        <v>1</v>
      </c>
      <c r="CL48" s="2">
        <v>34.25</v>
      </c>
      <c r="CM48" s="2" t="s">
        <v>328</v>
      </c>
      <c r="CN48" s="2">
        <v>4.3099999999999999E-2</v>
      </c>
      <c r="CO48" s="2">
        <v>5.24</v>
      </c>
      <c r="CP48" s="2">
        <v>1</v>
      </c>
      <c r="CQ48" s="2" t="s">
        <v>137</v>
      </c>
      <c r="CR48" s="2">
        <v>0.81</v>
      </c>
      <c r="CS48" s="2">
        <v>0.81</v>
      </c>
      <c r="CT48" s="2">
        <v>0</v>
      </c>
      <c r="CU48" s="2">
        <v>0.81</v>
      </c>
      <c r="CV48" s="2">
        <v>3</v>
      </c>
      <c r="CW48" s="2">
        <v>0.1096</v>
      </c>
      <c r="CX48" s="2">
        <v>0.26690000000000003</v>
      </c>
      <c r="CY48" s="2">
        <v>10.79</v>
      </c>
      <c r="CZ48" s="2">
        <v>9.51</v>
      </c>
      <c r="DA48" s="2" t="s">
        <v>205</v>
      </c>
      <c r="DB48" s="2">
        <v>0</v>
      </c>
      <c r="DC48" s="2">
        <v>1</v>
      </c>
      <c r="DD48" s="2">
        <v>0.5</v>
      </c>
      <c r="DE48" s="2">
        <v>0</v>
      </c>
      <c r="DF48" s="2">
        <v>0</v>
      </c>
      <c r="DG48" s="2">
        <v>203701000</v>
      </c>
      <c r="DH48" s="2">
        <v>21.44</v>
      </c>
      <c r="DI48" s="2">
        <v>73.290000000000006</v>
      </c>
      <c r="DJ48" s="2">
        <v>206008000</v>
      </c>
      <c r="DK48" s="2">
        <v>-2307000</v>
      </c>
      <c r="DL48" s="2">
        <v>333616000</v>
      </c>
      <c r="DM48" s="2">
        <v>169306000</v>
      </c>
      <c r="DN48" s="2">
        <v>164310000</v>
      </c>
      <c r="DO48" s="2">
        <v>1.97</v>
      </c>
      <c r="DP48" s="2" t="s">
        <v>137</v>
      </c>
      <c r="DQ48" s="2" t="s">
        <v>137</v>
      </c>
      <c r="DR48" s="2">
        <v>1.39</v>
      </c>
      <c r="DS48" s="2">
        <v>10.79</v>
      </c>
      <c r="DT48" s="2">
        <v>9.51</v>
      </c>
      <c r="DU48" s="2">
        <v>1.39</v>
      </c>
      <c r="DV48" s="2" t="s">
        <v>137</v>
      </c>
      <c r="DW48" s="2">
        <v>4.66</v>
      </c>
      <c r="DX48" s="2">
        <v>0</v>
      </c>
      <c r="DY48" s="2">
        <v>0</v>
      </c>
      <c r="DZ48" s="2">
        <v>39</v>
      </c>
      <c r="EA48" s="2">
        <v>15</v>
      </c>
      <c r="EB48" s="2">
        <v>1</v>
      </c>
      <c r="EC48" s="2">
        <v>54</v>
      </c>
      <c r="ED48" s="2">
        <v>0</v>
      </c>
    </row>
    <row r="49" spans="1:134" hidden="1" x14ac:dyDescent="0.2">
      <c r="A49" s="2" t="s">
        <v>329</v>
      </c>
      <c r="B49" s="2" t="s">
        <v>330</v>
      </c>
      <c r="C49" s="2" t="s">
        <v>135</v>
      </c>
      <c r="D49" s="2" t="s">
        <v>163</v>
      </c>
      <c r="E49" s="2">
        <v>1167730176</v>
      </c>
      <c r="F49" s="2">
        <v>29.16</v>
      </c>
      <c r="G49" s="2">
        <v>28.9</v>
      </c>
      <c r="H49" s="2">
        <v>28.73</v>
      </c>
      <c r="I49" s="2">
        <v>28.37</v>
      </c>
      <c r="J49" s="2">
        <v>28.33</v>
      </c>
      <c r="K49" s="2">
        <v>28.41</v>
      </c>
      <c r="L49" s="2">
        <v>28.6</v>
      </c>
      <c r="M49" s="2">
        <v>28.41</v>
      </c>
      <c r="N49" s="2">
        <v>28.43</v>
      </c>
      <c r="O49" s="2">
        <v>28.54</v>
      </c>
      <c r="P49" s="2">
        <v>0.44</v>
      </c>
      <c r="Q49" s="2">
        <v>28.17</v>
      </c>
      <c r="R49" s="2">
        <v>29.1</v>
      </c>
      <c r="S49" s="2">
        <v>28.54</v>
      </c>
      <c r="T49" s="2">
        <v>0</v>
      </c>
      <c r="U49" s="2">
        <v>29.48</v>
      </c>
      <c r="V49" s="2">
        <v>28.39</v>
      </c>
      <c r="W49" s="2">
        <v>27.3</v>
      </c>
      <c r="X49" s="2">
        <v>26.66</v>
      </c>
      <c r="Y49" s="2">
        <v>29.51</v>
      </c>
      <c r="Z49" s="2">
        <v>30.13</v>
      </c>
      <c r="AA49" s="2">
        <v>30.7</v>
      </c>
      <c r="AB49" s="2">
        <v>368800</v>
      </c>
      <c r="AC49" s="2">
        <v>326000</v>
      </c>
      <c r="AD49" s="2">
        <v>915400</v>
      </c>
      <c r="AE49" s="2">
        <v>524000</v>
      </c>
      <c r="AF49" s="2">
        <v>463200</v>
      </c>
      <c r="AG49" s="2">
        <f>AVERAGE(AB49:AF49)</f>
        <v>519480</v>
      </c>
      <c r="AH49" s="2">
        <v>0</v>
      </c>
      <c r="AI49" s="2">
        <v>0</v>
      </c>
      <c r="AJ49" s="2">
        <v>1</v>
      </c>
      <c r="AK49" s="2">
        <v>0</v>
      </c>
      <c r="AL49" s="2">
        <v>1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21.47</v>
      </c>
      <c r="AT49" s="2">
        <v>31.25</v>
      </c>
      <c r="AU49" s="2">
        <v>72.3</v>
      </c>
      <c r="AV49" s="2">
        <v>27.7</v>
      </c>
      <c r="AW49" s="2">
        <v>0</v>
      </c>
      <c r="AX49" s="2">
        <v>0</v>
      </c>
      <c r="AY49" s="2">
        <v>44.7</v>
      </c>
      <c r="AZ49" s="2">
        <v>37.299999999999997</v>
      </c>
      <c r="BA49" s="2">
        <v>38.200000000000003</v>
      </c>
      <c r="BB49" s="2">
        <v>38.200000000000003</v>
      </c>
      <c r="BC49" s="2">
        <v>41.1</v>
      </c>
      <c r="BD49" s="2">
        <v>1</v>
      </c>
      <c r="BE49" s="2">
        <v>16.399999999999999</v>
      </c>
      <c r="BF49" s="2">
        <v>15.7</v>
      </c>
      <c r="BG49" s="2">
        <v>0</v>
      </c>
      <c r="BH49" s="2">
        <v>0</v>
      </c>
      <c r="BI49" s="2">
        <v>14.7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 t="s">
        <v>137</v>
      </c>
      <c r="BV49" s="2">
        <v>33</v>
      </c>
      <c r="BW49" s="2">
        <v>34</v>
      </c>
      <c r="BX49" s="2">
        <v>32</v>
      </c>
      <c r="BY49" s="2">
        <v>1</v>
      </c>
      <c r="BZ49" s="2">
        <v>1</v>
      </c>
      <c r="CA49" s="2">
        <v>4</v>
      </c>
      <c r="CB49" s="2">
        <v>0</v>
      </c>
      <c r="CC49" s="2">
        <v>0</v>
      </c>
      <c r="CD49" s="2">
        <v>6</v>
      </c>
      <c r="CE49" s="2">
        <v>2</v>
      </c>
      <c r="CF49" s="2">
        <v>4</v>
      </c>
      <c r="CG49" s="2">
        <v>0</v>
      </c>
      <c r="CH49" s="2" t="s">
        <v>152</v>
      </c>
      <c r="CI49" s="2">
        <v>15.6</v>
      </c>
      <c r="CJ49" s="2" t="s">
        <v>139</v>
      </c>
      <c r="CK49" s="2">
        <v>1</v>
      </c>
      <c r="CL49" s="2">
        <v>33</v>
      </c>
      <c r="CM49" s="2" t="s">
        <v>331</v>
      </c>
      <c r="CN49" s="2">
        <v>8.5800000000000001E-2</v>
      </c>
      <c r="CO49" s="2">
        <v>9.7200000000000006</v>
      </c>
      <c r="CP49" s="2">
        <v>1</v>
      </c>
      <c r="CQ49" s="2" t="s">
        <v>137</v>
      </c>
      <c r="CR49" s="2">
        <v>0.56667000000000001</v>
      </c>
      <c r="CS49" s="2">
        <v>0.59333000000000002</v>
      </c>
      <c r="CT49" s="2">
        <v>-2.666000000000002E-2</v>
      </c>
      <c r="CU49" s="2">
        <v>0.56667000000000001</v>
      </c>
      <c r="CV49" s="2">
        <v>6</v>
      </c>
      <c r="CW49" s="2">
        <v>1.1900000000000001E-2</v>
      </c>
      <c r="CX49" s="2">
        <v>4.6100000000000002E-2</v>
      </c>
      <c r="CY49" s="2">
        <v>13.59</v>
      </c>
      <c r="CZ49" s="2">
        <v>10.77</v>
      </c>
      <c r="DA49" s="2" t="s">
        <v>214</v>
      </c>
      <c r="DB49" s="2">
        <v>1</v>
      </c>
      <c r="DC49" s="2">
        <v>0</v>
      </c>
      <c r="DD49" s="2">
        <v>1</v>
      </c>
      <c r="DE49" s="2">
        <v>0</v>
      </c>
      <c r="DF49" s="2">
        <v>0</v>
      </c>
      <c r="DG49" s="2">
        <v>85663000</v>
      </c>
      <c r="DH49" s="2">
        <v>7.34</v>
      </c>
      <c r="DI49" s="2">
        <v>29.03</v>
      </c>
      <c r="DJ49" s="2">
        <v>94819000</v>
      </c>
      <c r="DK49" s="2">
        <v>-9156000</v>
      </c>
      <c r="DL49" s="2">
        <v>221364992</v>
      </c>
      <c r="DM49" s="2">
        <v>205736992</v>
      </c>
      <c r="DN49" s="2">
        <v>15628000</v>
      </c>
      <c r="DO49" s="2">
        <v>1.08</v>
      </c>
      <c r="DP49" s="2" t="s">
        <v>137</v>
      </c>
      <c r="DQ49" s="2" t="s">
        <v>137</v>
      </c>
      <c r="DR49" s="2">
        <v>2.13</v>
      </c>
      <c r="DS49" s="2">
        <v>13.59</v>
      </c>
      <c r="DT49" s="2">
        <v>10.77</v>
      </c>
      <c r="DU49" s="2">
        <v>2.13</v>
      </c>
      <c r="DV49" s="2" t="s">
        <v>137</v>
      </c>
      <c r="DW49" s="2">
        <v>13.63</v>
      </c>
      <c r="DX49" s="2">
        <v>1.25</v>
      </c>
      <c r="DY49" s="2">
        <v>0</v>
      </c>
      <c r="DZ49" s="2">
        <v>36</v>
      </c>
      <c r="EA49" s="2">
        <v>10</v>
      </c>
      <c r="EB49" s="2">
        <v>1</v>
      </c>
      <c r="EC49" s="2">
        <v>46</v>
      </c>
      <c r="ED49" s="2">
        <v>0</v>
      </c>
    </row>
    <row r="50" spans="1:134" hidden="1" x14ac:dyDescent="0.2">
      <c r="A50" s="2" t="s">
        <v>332</v>
      </c>
      <c r="B50" s="2" t="s">
        <v>333</v>
      </c>
      <c r="C50" s="2" t="s">
        <v>135</v>
      </c>
      <c r="D50" s="2" t="s">
        <v>163</v>
      </c>
      <c r="E50" s="2">
        <v>1333890688</v>
      </c>
      <c r="F50" s="2">
        <v>36.42</v>
      </c>
      <c r="G50" s="2">
        <v>36.53</v>
      </c>
      <c r="H50" s="2">
        <v>36.409999999999997</v>
      </c>
      <c r="I50" s="2">
        <v>36.15</v>
      </c>
      <c r="J50" s="2">
        <v>36.15</v>
      </c>
      <c r="K50" s="2">
        <v>36.29</v>
      </c>
      <c r="L50" s="2">
        <v>36.61</v>
      </c>
      <c r="M50" s="2">
        <v>36.51</v>
      </c>
      <c r="N50" s="2">
        <v>36.450000000000003</v>
      </c>
      <c r="O50" s="2">
        <v>36.68</v>
      </c>
      <c r="P50" s="2">
        <v>0.61</v>
      </c>
      <c r="Q50" s="2">
        <v>35.450000000000003</v>
      </c>
      <c r="R50" s="2">
        <v>38.53</v>
      </c>
      <c r="S50" s="2">
        <v>36.659999999999997</v>
      </c>
      <c r="T50" s="2">
        <v>-0.1</v>
      </c>
      <c r="U50" s="2">
        <v>35</v>
      </c>
      <c r="V50" s="2">
        <v>35.75</v>
      </c>
      <c r="W50" s="2">
        <v>35.380000000000003</v>
      </c>
      <c r="X50" s="2">
        <v>34.979999999999997</v>
      </c>
      <c r="Y50" s="2">
        <v>36.840000000000003</v>
      </c>
      <c r="Z50" s="2">
        <v>37.51</v>
      </c>
      <c r="AA50" s="2" t="s">
        <v>137</v>
      </c>
      <c r="AB50" s="2">
        <v>118700</v>
      </c>
      <c r="AC50" s="2">
        <v>127000</v>
      </c>
      <c r="AD50" s="2">
        <v>104000</v>
      </c>
      <c r="AE50" s="2">
        <v>81500</v>
      </c>
      <c r="AF50" s="2">
        <v>84800</v>
      </c>
      <c r="AG50" s="2">
        <f>AVERAGE(AB50:AF50)</f>
        <v>103200</v>
      </c>
      <c r="AH50" s="2">
        <v>1</v>
      </c>
      <c r="AI50" s="2">
        <v>0</v>
      </c>
      <c r="AJ50" s="2">
        <v>1</v>
      </c>
      <c r="AK50" s="2">
        <v>0</v>
      </c>
      <c r="AL50" s="2">
        <v>1</v>
      </c>
      <c r="AM50" s="2">
        <v>0</v>
      </c>
      <c r="AN50" s="2">
        <v>0</v>
      </c>
      <c r="AO50" s="2">
        <v>0</v>
      </c>
      <c r="AP50" s="2">
        <v>0</v>
      </c>
      <c r="AQ50" s="2">
        <v>1</v>
      </c>
      <c r="AR50" s="2">
        <v>1</v>
      </c>
      <c r="AS50" s="2">
        <v>22.88</v>
      </c>
      <c r="AT50" s="2">
        <v>37.22</v>
      </c>
      <c r="AU50" s="2">
        <v>96.2</v>
      </c>
      <c r="AV50" s="2">
        <v>3.8</v>
      </c>
      <c r="AW50" s="2">
        <v>0</v>
      </c>
      <c r="AX50" s="2">
        <v>1</v>
      </c>
      <c r="AY50" s="2">
        <v>61.5</v>
      </c>
      <c r="AZ50" s="2">
        <v>56</v>
      </c>
      <c r="BA50" s="2">
        <v>57.5</v>
      </c>
      <c r="BB50" s="2">
        <v>59.8</v>
      </c>
      <c r="BC50" s="2">
        <v>61.6</v>
      </c>
      <c r="BD50" s="2">
        <v>0</v>
      </c>
      <c r="BE50" s="2">
        <v>78.900000000000006</v>
      </c>
      <c r="BF50" s="2">
        <v>70.7</v>
      </c>
      <c r="BG50" s="2">
        <v>0</v>
      </c>
      <c r="BH50" s="2">
        <v>0</v>
      </c>
      <c r="BI50" s="2">
        <v>17.899999999999999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 t="s">
        <v>137</v>
      </c>
      <c r="BV50" s="2">
        <v>40.4</v>
      </c>
      <c r="BW50" s="2">
        <v>44</v>
      </c>
      <c r="BX50" s="2">
        <v>38</v>
      </c>
      <c r="BY50" s="2">
        <v>2</v>
      </c>
      <c r="BZ50" s="2">
        <v>1</v>
      </c>
      <c r="CA50" s="2">
        <v>2</v>
      </c>
      <c r="CB50" s="2">
        <v>0</v>
      </c>
      <c r="CC50" s="2">
        <v>0</v>
      </c>
      <c r="CD50" s="2">
        <v>5</v>
      </c>
      <c r="CE50" s="2">
        <v>3</v>
      </c>
      <c r="CF50" s="2">
        <v>2</v>
      </c>
      <c r="CG50" s="2">
        <v>0</v>
      </c>
      <c r="CH50" s="2" t="s">
        <v>152</v>
      </c>
      <c r="CI50" s="2">
        <v>10.1</v>
      </c>
      <c r="CJ50" s="2" t="s">
        <v>139</v>
      </c>
      <c r="CK50" s="2">
        <v>0</v>
      </c>
      <c r="CL50" s="2">
        <v>40.4</v>
      </c>
      <c r="CM50" s="2" t="s">
        <v>334</v>
      </c>
      <c r="CN50" s="2">
        <v>5.57E-2</v>
      </c>
      <c r="CO50" s="2">
        <v>7.82</v>
      </c>
      <c r="CP50" s="2">
        <v>0</v>
      </c>
      <c r="CQ50" s="2" t="s">
        <v>137</v>
      </c>
      <c r="CR50" s="2">
        <v>0.78600000000000003</v>
      </c>
      <c r="CS50" s="2">
        <v>0.75600000000000001</v>
      </c>
      <c r="CT50" s="2">
        <v>3.000000000000003E-2</v>
      </c>
      <c r="CU50" s="2">
        <v>0.78600000000000003</v>
      </c>
      <c r="CV50" s="2">
        <v>5</v>
      </c>
      <c r="CW50" s="2">
        <v>0.2092</v>
      </c>
      <c r="CX50" s="2">
        <v>0.2056</v>
      </c>
      <c r="CY50" s="2">
        <v>15.61</v>
      </c>
      <c r="CZ50" s="2">
        <v>10.63</v>
      </c>
      <c r="DA50" s="2" t="s">
        <v>231</v>
      </c>
      <c r="DB50" s="2">
        <v>0</v>
      </c>
      <c r="DC50" s="2">
        <v>1</v>
      </c>
      <c r="DD50" s="2">
        <v>0.5</v>
      </c>
      <c r="DE50" s="2">
        <v>0</v>
      </c>
      <c r="DF50" s="2">
        <v>0</v>
      </c>
      <c r="DG50" s="2">
        <v>74823000</v>
      </c>
      <c r="DH50" s="2">
        <v>5.61</v>
      </c>
      <c r="DI50" s="2">
        <v>28.14</v>
      </c>
      <c r="DJ50" s="2">
        <v>85070000</v>
      </c>
      <c r="DK50" s="2">
        <v>-10247000</v>
      </c>
      <c r="DL50" s="2">
        <v>135296000</v>
      </c>
      <c r="DM50" s="2">
        <v>153315008</v>
      </c>
      <c r="DN50" s="2">
        <v>-18019008</v>
      </c>
      <c r="DO50" s="2">
        <v>0.88</v>
      </c>
      <c r="DP50" s="2" t="s">
        <v>137</v>
      </c>
      <c r="DQ50" s="2" t="s">
        <v>137</v>
      </c>
      <c r="DR50" s="2" t="s">
        <v>137</v>
      </c>
      <c r="DS50" s="2">
        <v>15.61</v>
      </c>
      <c r="DT50" s="2">
        <v>10.63</v>
      </c>
      <c r="DU50" s="2" t="s">
        <v>137</v>
      </c>
      <c r="DV50" s="2" t="s">
        <v>137</v>
      </c>
      <c r="DW50" s="2">
        <v>17.829999999999998</v>
      </c>
      <c r="DX50" s="2">
        <v>0</v>
      </c>
      <c r="DY50" s="2">
        <v>0</v>
      </c>
      <c r="DZ50" s="2">
        <v>42</v>
      </c>
      <c r="EA50" s="2">
        <v>10</v>
      </c>
      <c r="EB50" s="2">
        <v>1</v>
      </c>
      <c r="EC50" s="2">
        <v>52</v>
      </c>
      <c r="ED50" s="2">
        <v>0</v>
      </c>
    </row>
    <row r="51" spans="1:134" hidden="1" x14ac:dyDescent="0.2">
      <c r="A51" s="2" t="s">
        <v>503</v>
      </c>
      <c r="B51" s="2" t="s">
        <v>504</v>
      </c>
      <c r="C51" s="2" t="s">
        <v>144</v>
      </c>
      <c r="D51" s="2" t="s">
        <v>356</v>
      </c>
      <c r="E51" s="2">
        <v>1254942464</v>
      </c>
      <c r="F51" s="2">
        <v>22.43</v>
      </c>
      <c r="G51" s="2">
        <v>22.18</v>
      </c>
      <c r="H51" s="2">
        <v>22.02</v>
      </c>
      <c r="I51" s="2">
        <v>21.5</v>
      </c>
      <c r="J51" s="2">
        <v>21.27</v>
      </c>
      <c r="K51" s="2">
        <v>21.5</v>
      </c>
      <c r="L51" s="2">
        <v>21.73</v>
      </c>
      <c r="M51" s="2">
        <v>19.66</v>
      </c>
      <c r="N51" s="2">
        <v>19.95</v>
      </c>
      <c r="O51" s="2">
        <v>20.5</v>
      </c>
      <c r="P51" s="2">
        <v>1.23</v>
      </c>
      <c r="Q51" s="2">
        <v>17.989999999999998</v>
      </c>
      <c r="R51" s="2">
        <v>24.26</v>
      </c>
      <c r="S51" s="2">
        <v>20.49</v>
      </c>
      <c r="T51" s="2">
        <v>0</v>
      </c>
      <c r="U51" s="2">
        <v>22.58</v>
      </c>
      <c r="V51" s="2">
        <v>18.61</v>
      </c>
      <c r="W51" s="2">
        <v>18.239999999999998</v>
      </c>
      <c r="X51" s="2">
        <v>16.93</v>
      </c>
      <c r="Y51" s="2">
        <v>20.67</v>
      </c>
      <c r="Z51" s="2">
        <v>22.79</v>
      </c>
      <c r="AA51" s="2">
        <v>23.1</v>
      </c>
      <c r="AB51" s="2">
        <v>1002600</v>
      </c>
      <c r="AC51" s="2">
        <v>1615500</v>
      </c>
      <c r="AD51" s="2">
        <v>1157200</v>
      </c>
      <c r="AE51" s="2">
        <v>1647700</v>
      </c>
      <c r="AF51" s="2">
        <v>996900</v>
      </c>
      <c r="AG51" s="2">
        <f>AVERAGE(AB51:AF51)</f>
        <v>1283980</v>
      </c>
      <c r="AH51" s="2">
        <v>0</v>
      </c>
      <c r="AI51" s="2">
        <v>0</v>
      </c>
      <c r="AJ51" s="2">
        <v>1</v>
      </c>
      <c r="AK51" s="2">
        <v>0</v>
      </c>
      <c r="AL51" s="2">
        <v>1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10.94</v>
      </c>
      <c r="AT51" s="2">
        <v>26.78</v>
      </c>
      <c r="AU51" s="2">
        <v>60.4</v>
      </c>
      <c r="AV51" s="2">
        <v>39.6</v>
      </c>
      <c r="AW51" s="2">
        <v>0</v>
      </c>
      <c r="AX51" s="2">
        <v>0</v>
      </c>
      <c r="AY51" s="2">
        <v>45.1</v>
      </c>
      <c r="AZ51" s="2">
        <v>41.6</v>
      </c>
      <c r="BA51" s="2">
        <v>41.6</v>
      </c>
      <c r="BB51" s="2">
        <v>33.299999999999997</v>
      </c>
      <c r="BC51" s="2">
        <v>39.299999999999997</v>
      </c>
      <c r="BD51" s="2">
        <v>1</v>
      </c>
      <c r="BE51" s="2">
        <v>7.2</v>
      </c>
      <c r="BF51" s="2">
        <v>2.4</v>
      </c>
      <c r="BG51" s="2">
        <v>0</v>
      </c>
      <c r="BH51" s="2">
        <v>0</v>
      </c>
      <c r="BI51" s="2">
        <v>22.1</v>
      </c>
      <c r="BJ51" s="2">
        <v>0</v>
      </c>
      <c r="BK51" s="2">
        <v>1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1.75</v>
      </c>
      <c r="BV51" s="2">
        <v>28.41667</v>
      </c>
      <c r="BW51" s="2">
        <v>35</v>
      </c>
      <c r="BX51" s="2">
        <v>22</v>
      </c>
      <c r="BY51" s="2">
        <v>5</v>
      </c>
      <c r="BZ51" s="2">
        <v>5</v>
      </c>
      <c r="CA51" s="2">
        <v>2</v>
      </c>
      <c r="CB51" s="2">
        <v>0</v>
      </c>
      <c r="CC51" s="2">
        <v>0</v>
      </c>
      <c r="CD51" s="2">
        <v>12</v>
      </c>
      <c r="CE51" s="2">
        <v>10</v>
      </c>
      <c r="CF51" s="2">
        <v>2</v>
      </c>
      <c r="CG51" s="2">
        <v>0</v>
      </c>
      <c r="CH51" s="2" t="s">
        <v>138</v>
      </c>
      <c r="CI51" s="2">
        <v>38.6</v>
      </c>
      <c r="CJ51" s="2" t="s">
        <v>237</v>
      </c>
      <c r="CK51" s="2">
        <v>0</v>
      </c>
      <c r="CL51" s="2">
        <v>28.42</v>
      </c>
      <c r="CM51" s="2" t="s">
        <v>505</v>
      </c>
      <c r="CN51" s="2">
        <v>9.5600000000000004E-2</v>
      </c>
      <c r="CO51" s="2">
        <v>4.05</v>
      </c>
      <c r="CP51" s="2">
        <v>0</v>
      </c>
      <c r="CQ51" s="2" t="s">
        <v>137</v>
      </c>
      <c r="CR51" s="2">
        <v>0.10262</v>
      </c>
      <c r="CS51" s="2">
        <v>0.107</v>
      </c>
      <c r="CT51" s="2">
        <v>-4.379999999999995E-3</v>
      </c>
      <c r="CU51" s="2">
        <v>0.10262</v>
      </c>
      <c r="CV51" s="2">
        <v>4</v>
      </c>
      <c r="CW51" s="2">
        <v>2.4436</v>
      </c>
      <c r="CX51" s="2">
        <v>1.8149</v>
      </c>
      <c r="CY51" s="2">
        <v>30.6</v>
      </c>
      <c r="CZ51" s="2">
        <v>36.86</v>
      </c>
      <c r="DA51" s="2" t="s">
        <v>148</v>
      </c>
      <c r="DB51" s="2">
        <v>1</v>
      </c>
      <c r="DC51" s="2">
        <v>0</v>
      </c>
      <c r="DD51" s="2">
        <v>2</v>
      </c>
      <c r="DE51" s="2">
        <v>0</v>
      </c>
      <c r="DF51" s="2">
        <v>0</v>
      </c>
      <c r="DG51" s="2">
        <v>12420000</v>
      </c>
      <c r="DH51" s="2">
        <v>0.99</v>
      </c>
      <c r="DI51" s="2">
        <v>4.01</v>
      </c>
      <c r="DJ51" s="2">
        <v>18252000</v>
      </c>
      <c r="DK51" s="2">
        <v>-5832000</v>
      </c>
      <c r="DL51" s="2">
        <v>221712000</v>
      </c>
      <c r="DM51" s="2" t="s">
        <v>137</v>
      </c>
      <c r="DN51" s="2" t="s">
        <v>137</v>
      </c>
      <c r="DO51" s="2" t="s">
        <v>137</v>
      </c>
      <c r="DP51" s="2">
        <v>3.91</v>
      </c>
      <c r="DQ51" s="2">
        <v>3.7</v>
      </c>
      <c r="DR51" s="2" t="s">
        <v>137</v>
      </c>
      <c r="DS51" s="2">
        <v>30.6</v>
      </c>
      <c r="DT51" s="2">
        <v>36.86</v>
      </c>
      <c r="DU51" s="2" t="s">
        <v>137</v>
      </c>
      <c r="DV51" s="2">
        <v>190.25</v>
      </c>
      <c r="DW51" s="2">
        <v>101.04</v>
      </c>
      <c r="DX51" s="2">
        <v>7.57</v>
      </c>
      <c r="DY51" s="2">
        <v>0</v>
      </c>
      <c r="DZ51" s="2">
        <v>45</v>
      </c>
      <c r="EA51" s="2">
        <v>0</v>
      </c>
      <c r="EB51" s="2">
        <v>0</v>
      </c>
      <c r="EC51" s="2">
        <v>45</v>
      </c>
      <c r="ED51" s="2">
        <v>0</v>
      </c>
    </row>
    <row r="52" spans="1:134" hidden="1" x14ac:dyDescent="0.2">
      <c r="A52" s="2" t="s">
        <v>338</v>
      </c>
      <c r="B52" s="2" t="s">
        <v>339</v>
      </c>
      <c r="C52" s="2" t="s">
        <v>135</v>
      </c>
      <c r="D52" s="2" t="s">
        <v>136</v>
      </c>
      <c r="E52" s="2">
        <v>852904768</v>
      </c>
      <c r="F52" s="2">
        <v>33.43</v>
      </c>
      <c r="G52" s="2">
        <v>32.659999999999997</v>
      </c>
      <c r="H52" s="2">
        <v>32.25</v>
      </c>
      <c r="I52" s="2">
        <v>32.119999999999997</v>
      </c>
      <c r="J52" s="2">
        <v>32.03</v>
      </c>
      <c r="K52" s="2">
        <v>32.06</v>
      </c>
      <c r="L52" s="2">
        <v>32.61</v>
      </c>
      <c r="M52" s="2">
        <v>32</v>
      </c>
      <c r="N52" s="2">
        <v>32.25</v>
      </c>
      <c r="O52" s="2">
        <v>32.32</v>
      </c>
      <c r="P52" s="2">
        <v>0.99</v>
      </c>
      <c r="Q52" s="2">
        <v>31.59</v>
      </c>
      <c r="R52" s="2">
        <v>33.409999999999997</v>
      </c>
      <c r="S52" s="2">
        <v>32.340000000000003</v>
      </c>
      <c r="T52" s="2">
        <v>0.1</v>
      </c>
      <c r="U52" s="2">
        <v>31.4</v>
      </c>
      <c r="V52" s="2">
        <v>32.090000000000003</v>
      </c>
      <c r="W52" s="2">
        <v>31.57</v>
      </c>
      <c r="X52" s="2">
        <v>28.05</v>
      </c>
      <c r="Y52" s="2">
        <v>33.64</v>
      </c>
      <c r="Z52" s="2">
        <v>34.22</v>
      </c>
      <c r="AA52" s="2">
        <v>34.880000000000003</v>
      </c>
      <c r="AB52" s="2">
        <v>131100</v>
      </c>
      <c r="AC52" s="2">
        <v>186400</v>
      </c>
      <c r="AD52" s="2">
        <v>133700</v>
      </c>
      <c r="AE52" s="2">
        <v>92900</v>
      </c>
      <c r="AF52" s="2">
        <v>100900</v>
      </c>
      <c r="AG52" s="2">
        <f>AVERAGE(AB52:AF52)</f>
        <v>129000</v>
      </c>
      <c r="AH52" s="2">
        <v>0</v>
      </c>
      <c r="AI52" s="2">
        <v>0</v>
      </c>
      <c r="AJ52" s="2">
        <v>1</v>
      </c>
      <c r="AK52" s="2">
        <v>0</v>
      </c>
      <c r="AL52" s="2">
        <v>1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1</v>
      </c>
      <c r="AS52" s="2">
        <v>24.09</v>
      </c>
      <c r="AT52" s="2">
        <v>37.85</v>
      </c>
      <c r="AU52" s="2">
        <v>59.8</v>
      </c>
      <c r="AV52" s="2">
        <v>40.200000000000003</v>
      </c>
      <c r="AW52" s="2">
        <v>0</v>
      </c>
      <c r="AX52" s="2">
        <v>0</v>
      </c>
      <c r="AY52" s="2">
        <v>51</v>
      </c>
      <c r="AZ52" s="2">
        <v>47.2</v>
      </c>
      <c r="BA52" s="2">
        <v>46.7</v>
      </c>
      <c r="BB52" s="2">
        <v>46.3</v>
      </c>
      <c r="BC52" s="2">
        <v>49.1</v>
      </c>
      <c r="BD52" s="2">
        <v>1</v>
      </c>
      <c r="BE52" s="2">
        <v>5</v>
      </c>
      <c r="BF52" s="2">
        <v>1.7</v>
      </c>
      <c r="BG52" s="2">
        <v>0</v>
      </c>
      <c r="BH52" s="2">
        <v>0</v>
      </c>
      <c r="BI52" s="2">
        <v>28</v>
      </c>
      <c r="BJ52" s="2">
        <v>1</v>
      </c>
      <c r="BK52" s="2">
        <v>0</v>
      </c>
      <c r="BL52" s="2">
        <v>0</v>
      </c>
      <c r="BM52" s="2">
        <v>0</v>
      </c>
      <c r="BN52" s="2">
        <v>0</v>
      </c>
      <c r="BO52" s="2">
        <v>1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 t="s">
        <v>137</v>
      </c>
      <c r="BV52" s="2">
        <v>41.125</v>
      </c>
      <c r="BW52" s="2">
        <v>45</v>
      </c>
      <c r="BX52" s="2">
        <v>35</v>
      </c>
      <c r="BY52" s="2">
        <v>1</v>
      </c>
      <c r="BZ52" s="2">
        <v>2</v>
      </c>
      <c r="CA52" s="2">
        <v>2</v>
      </c>
      <c r="CB52" s="2">
        <v>0</v>
      </c>
      <c r="CC52" s="2">
        <v>0</v>
      </c>
      <c r="CD52" s="2">
        <v>5</v>
      </c>
      <c r="CE52" s="2">
        <v>3</v>
      </c>
      <c r="CF52" s="2">
        <v>2</v>
      </c>
      <c r="CG52" s="2">
        <v>0</v>
      </c>
      <c r="CH52" s="2" t="s">
        <v>152</v>
      </c>
      <c r="CI52" s="2">
        <v>27.2</v>
      </c>
      <c r="CJ52" s="2" t="s">
        <v>139</v>
      </c>
      <c r="CK52" s="2">
        <v>1</v>
      </c>
      <c r="CL52" s="2">
        <v>42.3</v>
      </c>
      <c r="CM52" s="2" t="s">
        <v>340</v>
      </c>
      <c r="CN52" s="2">
        <v>3.95E-2</v>
      </c>
      <c r="CO52" s="2">
        <v>4.6900000000000004</v>
      </c>
      <c r="CP52" s="2">
        <v>3</v>
      </c>
      <c r="CQ52" s="2" t="s">
        <v>137</v>
      </c>
      <c r="CR52" s="2">
        <v>0.3175</v>
      </c>
      <c r="CS52" s="2">
        <v>0.3</v>
      </c>
      <c r="CT52" s="2">
        <v>1.7500000000000019E-2</v>
      </c>
      <c r="CU52" s="2">
        <v>0.3175</v>
      </c>
      <c r="CV52" s="2">
        <v>4</v>
      </c>
      <c r="CW52" s="2">
        <v>-0.5464</v>
      </c>
      <c r="CX52" s="2">
        <v>2.6065999999999998</v>
      </c>
      <c r="CY52" s="2">
        <v>6.86</v>
      </c>
      <c r="CZ52" s="2">
        <v>9.19</v>
      </c>
      <c r="DA52" s="2" t="s">
        <v>244</v>
      </c>
      <c r="DB52" s="2">
        <v>1</v>
      </c>
      <c r="DC52" s="2">
        <v>0</v>
      </c>
      <c r="DD52" s="2">
        <v>3.5</v>
      </c>
      <c r="DE52" s="2">
        <v>0</v>
      </c>
      <c r="DF52" s="2">
        <v>1</v>
      </c>
      <c r="DG52" s="2">
        <v>-4100000</v>
      </c>
      <c r="DH52" s="2">
        <v>-0.48</v>
      </c>
      <c r="DI52" s="2">
        <v>-0.81</v>
      </c>
      <c r="DJ52" s="2">
        <v>9200000</v>
      </c>
      <c r="DK52" s="2">
        <v>-13300000</v>
      </c>
      <c r="DL52" s="2">
        <v>311500000</v>
      </c>
      <c r="DM52" s="2">
        <v>50700000</v>
      </c>
      <c r="DN52" s="2">
        <v>260800000</v>
      </c>
      <c r="DO52" s="2">
        <v>6.14</v>
      </c>
      <c r="DP52" s="2">
        <v>1</v>
      </c>
      <c r="DQ52" s="2">
        <v>0.47</v>
      </c>
      <c r="DR52" s="2" t="s">
        <v>137</v>
      </c>
      <c r="DS52" s="2">
        <v>6.86</v>
      </c>
      <c r="DT52" s="2">
        <v>9.19</v>
      </c>
      <c r="DU52" s="2" t="s">
        <v>137</v>
      </c>
      <c r="DV52" s="2">
        <v>16.68</v>
      </c>
      <c r="DW52" s="2" t="s">
        <v>137</v>
      </c>
      <c r="DX52" s="2">
        <v>1.04</v>
      </c>
      <c r="DY52" s="2">
        <v>0</v>
      </c>
      <c r="DZ52" s="2">
        <v>30</v>
      </c>
      <c r="EA52" s="2">
        <v>10</v>
      </c>
      <c r="EB52" s="2">
        <v>1</v>
      </c>
      <c r="EC52" s="2">
        <v>40</v>
      </c>
      <c r="ED52" s="2">
        <v>0</v>
      </c>
    </row>
    <row r="53" spans="1:134" hidden="1" x14ac:dyDescent="0.2">
      <c r="A53" s="2" t="s">
        <v>341</v>
      </c>
      <c r="B53" s="2" t="s">
        <v>342</v>
      </c>
      <c r="C53" s="2" t="s">
        <v>135</v>
      </c>
      <c r="D53" s="2" t="s">
        <v>163</v>
      </c>
      <c r="E53" s="2">
        <v>193389168</v>
      </c>
      <c r="F53" s="2">
        <v>27.28</v>
      </c>
      <c r="G53" s="2">
        <v>27.13</v>
      </c>
      <c r="H53" s="2">
        <v>27</v>
      </c>
      <c r="I53" s="2">
        <v>27.26</v>
      </c>
      <c r="J53" s="2">
        <v>27.23</v>
      </c>
      <c r="K53" s="2">
        <v>27.52</v>
      </c>
      <c r="L53" s="2">
        <v>27.57</v>
      </c>
      <c r="M53" s="2">
        <v>26.78</v>
      </c>
      <c r="N53" s="2">
        <v>26.91</v>
      </c>
      <c r="O53" s="2">
        <v>27.41</v>
      </c>
      <c r="P53" s="2">
        <v>0.73</v>
      </c>
      <c r="Q53" s="2">
        <v>26.19</v>
      </c>
      <c r="R53" s="2">
        <v>29.24</v>
      </c>
      <c r="S53" s="2">
        <v>27.83</v>
      </c>
      <c r="T53" s="2">
        <v>1.5</v>
      </c>
      <c r="U53" s="2">
        <v>26.17</v>
      </c>
      <c r="V53" s="2">
        <v>26.55</v>
      </c>
      <c r="W53" s="2">
        <v>26.14</v>
      </c>
      <c r="X53" s="2">
        <v>23.92</v>
      </c>
      <c r="Y53" s="2">
        <v>27.76</v>
      </c>
      <c r="Z53" s="2" t="s">
        <v>137</v>
      </c>
      <c r="AA53" s="2" t="s">
        <v>137</v>
      </c>
      <c r="AB53" s="2">
        <v>19600</v>
      </c>
      <c r="AC53" s="2">
        <v>22300</v>
      </c>
      <c r="AD53" s="2">
        <v>64800</v>
      </c>
      <c r="AE53" s="2">
        <v>53700</v>
      </c>
      <c r="AF53" s="2">
        <v>40300</v>
      </c>
      <c r="AG53" s="2">
        <f>AVERAGE(AB53:AF53)</f>
        <v>40140</v>
      </c>
      <c r="AH53" s="2">
        <v>0</v>
      </c>
      <c r="AI53" s="2">
        <v>1</v>
      </c>
      <c r="AJ53" s="2">
        <v>1</v>
      </c>
      <c r="AK53" s="2">
        <v>0</v>
      </c>
      <c r="AL53" s="2">
        <v>1</v>
      </c>
      <c r="AM53" s="2">
        <v>0</v>
      </c>
      <c r="AN53" s="2">
        <v>1</v>
      </c>
      <c r="AO53" s="2">
        <v>0</v>
      </c>
      <c r="AP53" s="2">
        <v>0</v>
      </c>
      <c r="AQ53" s="2">
        <v>0</v>
      </c>
      <c r="AR53" s="2">
        <v>1</v>
      </c>
      <c r="AS53" s="2">
        <v>20.170000000000002</v>
      </c>
      <c r="AT53" s="2">
        <v>27.74</v>
      </c>
      <c r="AU53" s="2">
        <v>95.6</v>
      </c>
      <c r="AV53" s="2">
        <v>4.4000000000000004</v>
      </c>
      <c r="AW53" s="2">
        <v>0</v>
      </c>
      <c r="AX53" s="2">
        <v>0</v>
      </c>
      <c r="AY53" s="2">
        <v>55.8</v>
      </c>
      <c r="AZ53" s="2">
        <v>57.5</v>
      </c>
      <c r="BA53" s="2">
        <v>60.6</v>
      </c>
      <c r="BB53" s="2">
        <v>49.4</v>
      </c>
      <c r="BC53" s="2">
        <v>56.7</v>
      </c>
      <c r="BD53" s="2">
        <v>0</v>
      </c>
      <c r="BE53" s="2">
        <v>48.4</v>
      </c>
      <c r="BF53" s="2">
        <v>49.4</v>
      </c>
      <c r="BG53" s="2">
        <v>0</v>
      </c>
      <c r="BH53" s="2">
        <v>0</v>
      </c>
      <c r="BI53" s="2">
        <v>24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 t="s">
        <v>137</v>
      </c>
      <c r="BV53" s="2">
        <v>26.83333</v>
      </c>
      <c r="BW53" s="2">
        <v>28.5</v>
      </c>
      <c r="BX53" s="2">
        <v>25</v>
      </c>
      <c r="BY53" s="2">
        <v>1</v>
      </c>
      <c r="BZ53" s="2">
        <v>0</v>
      </c>
      <c r="CA53" s="2">
        <v>3</v>
      </c>
      <c r="CB53" s="2">
        <v>0</v>
      </c>
      <c r="CC53" s="2">
        <v>0</v>
      </c>
      <c r="CD53" s="2">
        <v>4</v>
      </c>
      <c r="CE53" s="2">
        <v>1</v>
      </c>
      <c r="CF53" s="2">
        <v>3</v>
      </c>
      <c r="CG53" s="2">
        <v>0</v>
      </c>
      <c r="CH53" s="2" t="s">
        <v>152</v>
      </c>
      <c r="CI53" s="2">
        <v>-2.1</v>
      </c>
      <c r="CJ53" s="2" t="s">
        <v>139</v>
      </c>
      <c r="CK53" s="2">
        <v>0</v>
      </c>
      <c r="CL53" s="2">
        <v>26.83</v>
      </c>
      <c r="CM53" s="2" t="s">
        <v>343</v>
      </c>
      <c r="CN53" s="2">
        <v>1.7100000000000001E-2</v>
      </c>
      <c r="CO53" s="2">
        <v>1.98</v>
      </c>
      <c r="CP53" s="2">
        <v>0</v>
      </c>
      <c r="CQ53" s="2" t="s">
        <v>137</v>
      </c>
      <c r="CR53" s="2">
        <v>0.58499999999999996</v>
      </c>
      <c r="CS53" s="2">
        <v>0.61</v>
      </c>
      <c r="CT53" s="2">
        <v>-2.5000000000000019E-2</v>
      </c>
      <c r="CU53" s="2">
        <v>0.58499999999999996</v>
      </c>
      <c r="CV53" s="2">
        <v>4</v>
      </c>
      <c r="CW53" s="2">
        <v>0.53949999999999998</v>
      </c>
      <c r="CX53" s="2">
        <v>0.75190000000000001</v>
      </c>
      <c r="CY53" s="2">
        <v>21.58</v>
      </c>
      <c r="CZ53" s="2">
        <v>8.94</v>
      </c>
      <c r="DA53" s="2" t="s">
        <v>165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12182000</v>
      </c>
      <c r="DH53" s="2">
        <v>6.3</v>
      </c>
      <c r="DI53" s="2">
        <v>18.23</v>
      </c>
      <c r="DJ53" s="2">
        <v>13051000</v>
      </c>
      <c r="DK53" s="2">
        <v>-869000</v>
      </c>
      <c r="DL53" s="2">
        <v>141243008</v>
      </c>
      <c r="DM53" s="2">
        <v>101892000</v>
      </c>
      <c r="DN53" s="2">
        <v>39351008</v>
      </c>
      <c r="DO53" s="2">
        <v>1.39</v>
      </c>
      <c r="DP53" s="2" t="s">
        <v>137</v>
      </c>
      <c r="DQ53" s="2" t="s">
        <v>137</v>
      </c>
      <c r="DR53" s="2" t="s">
        <v>137</v>
      </c>
      <c r="DS53" s="2">
        <v>21.58</v>
      </c>
      <c r="DT53" s="2">
        <v>8.94</v>
      </c>
      <c r="DU53" s="2" t="s">
        <v>137</v>
      </c>
      <c r="DV53" s="2" t="s">
        <v>137</v>
      </c>
      <c r="DW53" s="2">
        <v>15.87</v>
      </c>
      <c r="DX53" s="2">
        <v>0.4</v>
      </c>
      <c r="DY53" s="2">
        <v>0</v>
      </c>
      <c r="DZ53" s="2">
        <v>36</v>
      </c>
      <c r="EA53" s="2">
        <v>10</v>
      </c>
      <c r="EB53" s="2">
        <v>1</v>
      </c>
      <c r="EC53" s="2">
        <v>46</v>
      </c>
      <c r="ED53" s="2">
        <v>0</v>
      </c>
    </row>
    <row r="54" spans="1:134" hidden="1" x14ac:dyDescent="0.2">
      <c r="A54" s="2" t="s">
        <v>344</v>
      </c>
      <c r="B54" s="2" t="s">
        <v>345</v>
      </c>
      <c r="C54" s="2" t="s">
        <v>135</v>
      </c>
      <c r="D54" s="2" t="s">
        <v>163</v>
      </c>
      <c r="E54" s="2">
        <v>1794772864</v>
      </c>
      <c r="F54" s="2">
        <v>14.04</v>
      </c>
      <c r="G54" s="2">
        <v>13.98</v>
      </c>
      <c r="H54" s="2">
        <v>13.89</v>
      </c>
      <c r="I54" s="2">
        <v>13.82</v>
      </c>
      <c r="J54" s="2">
        <v>13.8</v>
      </c>
      <c r="K54" s="2">
        <v>13.95</v>
      </c>
      <c r="L54" s="2">
        <v>14.05</v>
      </c>
      <c r="M54" s="2">
        <v>13.94</v>
      </c>
      <c r="N54" s="2">
        <v>13.94</v>
      </c>
      <c r="O54" s="2">
        <v>14.05</v>
      </c>
      <c r="P54" s="2">
        <v>0.24</v>
      </c>
      <c r="Q54" s="2">
        <v>13.73</v>
      </c>
      <c r="R54" s="2">
        <v>14.53</v>
      </c>
      <c r="S54" s="2">
        <v>14.04</v>
      </c>
      <c r="T54" s="2">
        <v>-0.1</v>
      </c>
      <c r="U54" s="2">
        <v>13.89</v>
      </c>
      <c r="V54" s="2">
        <v>13.85</v>
      </c>
      <c r="W54" s="2">
        <v>13.64</v>
      </c>
      <c r="X54" s="2">
        <v>13.38</v>
      </c>
      <c r="Y54" s="2">
        <v>14.22</v>
      </c>
      <c r="Z54" s="2">
        <v>14.53</v>
      </c>
      <c r="AA54" s="2" t="s">
        <v>137</v>
      </c>
      <c r="AB54" s="2">
        <v>587800</v>
      </c>
      <c r="AC54" s="2">
        <v>527800</v>
      </c>
      <c r="AD54" s="2">
        <v>588300</v>
      </c>
      <c r="AE54" s="2">
        <v>722700</v>
      </c>
      <c r="AF54" s="2">
        <v>766200</v>
      </c>
      <c r="AG54" s="2">
        <f>AVERAGE(AB54:AF54)</f>
        <v>638560</v>
      </c>
      <c r="AH54" s="2">
        <v>0</v>
      </c>
      <c r="AI54" s="2">
        <v>0</v>
      </c>
      <c r="AJ54" s="2">
        <v>1</v>
      </c>
      <c r="AK54" s="2">
        <v>0</v>
      </c>
      <c r="AL54" s="2">
        <v>1</v>
      </c>
      <c r="AM54" s="2">
        <v>0</v>
      </c>
      <c r="AN54" s="2">
        <v>0</v>
      </c>
      <c r="AO54" s="2">
        <v>1</v>
      </c>
      <c r="AP54" s="2">
        <v>0</v>
      </c>
      <c r="AQ54" s="2">
        <v>1</v>
      </c>
      <c r="AR54" s="2">
        <v>1</v>
      </c>
      <c r="AS54" s="2">
        <v>9.84</v>
      </c>
      <c r="AT54" s="2">
        <v>14.5</v>
      </c>
      <c r="AU54" s="2">
        <v>90.3</v>
      </c>
      <c r="AV54" s="2">
        <v>9.6999999999999993</v>
      </c>
      <c r="AW54" s="2">
        <v>1</v>
      </c>
      <c r="AX54" s="2">
        <v>0</v>
      </c>
      <c r="AY54" s="2">
        <v>51</v>
      </c>
      <c r="AZ54" s="2">
        <v>46.2</v>
      </c>
      <c r="BA54" s="2">
        <v>50.3</v>
      </c>
      <c r="BB54" s="2">
        <v>50</v>
      </c>
      <c r="BC54" s="2">
        <v>53.5</v>
      </c>
      <c r="BD54" s="2">
        <v>0</v>
      </c>
      <c r="BE54" s="2">
        <v>71.400000000000006</v>
      </c>
      <c r="BF54" s="2">
        <v>62.7</v>
      </c>
      <c r="BG54" s="2">
        <v>0</v>
      </c>
      <c r="BH54" s="2">
        <v>0</v>
      </c>
      <c r="BI54" s="2">
        <v>12.4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 t="s">
        <v>137</v>
      </c>
      <c r="BV54" s="2">
        <v>15.5</v>
      </c>
      <c r="BW54" s="2">
        <v>16</v>
      </c>
      <c r="BX54" s="2">
        <v>15</v>
      </c>
      <c r="BY54" s="2">
        <v>0</v>
      </c>
      <c r="BZ54" s="2">
        <v>2</v>
      </c>
      <c r="CA54" s="2">
        <v>2</v>
      </c>
      <c r="CB54" s="2">
        <v>0</v>
      </c>
      <c r="CC54" s="2">
        <v>0</v>
      </c>
      <c r="CD54" s="2">
        <v>4</v>
      </c>
      <c r="CE54" s="2">
        <v>2</v>
      </c>
      <c r="CF54" s="2">
        <v>2</v>
      </c>
      <c r="CG54" s="2">
        <v>0</v>
      </c>
      <c r="CH54" s="2" t="s">
        <v>152</v>
      </c>
      <c r="CI54" s="2">
        <v>10.3</v>
      </c>
      <c r="CJ54" s="2" t="s">
        <v>139</v>
      </c>
      <c r="CK54" s="2">
        <v>1</v>
      </c>
      <c r="CL54" s="2">
        <v>15.5</v>
      </c>
      <c r="CM54" s="2" t="s">
        <v>346</v>
      </c>
      <c r="CN54" s="2">
        <v>6.83E-2</v>
      </c>
      <c r="CO54" s="2">
        <v>6.73</v>
      </c>
      <c r="CP54" s="2">
        <v>1</v>
      </c>
      <c r="CQ54" s="2" t="s">
        <v>137</v>
      </c>
      <c r="CR54" s="2">
        <v>0.29499999999999998</v>
      </c>
      <c r="CS54" s="2">
        <v>0.31</v>
      </c>
      <c r="CT54" s="2">
        <v>-1.500000000000001E-2</v>
      </c>
      <c r="CU54" s="2">
        <v>0.29499999999999998</v>
      </c>
      <c r="CV54" s="2">
        <v>4</v>
      </c>
      <c r="CW54" s="2">
        <v>0.18</v>
      </c>
      <c r="CX54" s="2">
        <v>0.27250000000000002</v>
      </c>
      <c r="CY54" s="2">
        <v>13.91</v>
      </c>
      <c r="CZ54" s="2">
        <v>8.91</v>
      </c>
      <c r="DA54" s="2" t="s">
        <v>265</v>
      </c>
      <c r="DB54" s="2">
        <v>0</v>
      </c>
      <c r="DC54" s="2">
        <v>1</v>
      </c>
      <c r="DD54" s="2">
        <v>0.5</v>
      </c>
      <c r="DE54" s="2">
        <v>0</v>
      </c>
      <c r="DF54" s="2">
        <v>0</v>
      </c>
      <c r="DG54" s="2">
        <v>151457000</v>
      </c>
      <c r="DH54" s="2">
        <v>8.44</v>
      </c>
      <c r="DI54" s="2">
        <v>28.36</v>
      </c>
      <c r="DJ54" s="2">
        <v>164546000</v>
      </c>
      <c r="DK54" s="2">
        <v>-13089000</v>
      </c>
      <c r="DL54" s="2">
        <v>675403008</v>
      </c>
      <c r="DM54" s="2">
        <v>674694016</v>
      </c>
      <c r="DN54" s="2">
        <v>708992</v>
      </c>
      <c r="DO54" s="2">
        <v>1</v>
      </c>
      <c r="DP54" s="2" t="s">
        <v>137</v>
      </c>
      <c r="DQ54" s="2" t="s">
        <v>137</v>
      </c>
      <c r="DR54" s="2">
        <v>1.24</v>
      </c>
      <c r="DS54" s="2">
        <v>13.91</v>
      </c>
      <c r="DT54" s="2">
        <v>8.91</v>
      </c>
      <c r="DU54" s="2">
        <v>1.24</v>
      </c>
      <c r="DV54" s="2" t="s">
        <v>137</v>
      </c>
      <c r="DW54" s="2">
        <v>11.85</v>
      </c>
      <c r="DX54" s="2">
        <v>0</v>
      </c>
      <c r="DY54" s="2">
        <v>0</v>
      </c>
      <c r="DZ54" s="2">
        <v>36</v>
      </c>
      <c r="EA54" s="2">
        <v>15</v>
      </c>
      <c r="EB54" s="2">
        <v>1</v>
      </c>
      <c r="EC54" s="2">
        <v>51</v>
      </c>
      <c r="ED54" s="2">
        <v>0</v>
      </c>
    </row>
    <row r="55" spans="1:134" hidden="1" x14ac:dyDescent="0.2">
      <c r="A55" s="2" t="s">
        <v>347</v>
      </c>
      <c r="B55" s="2" t="s">
        <v>348</v>
      </c>
      <c r="C55" s="2" t="s">
        <v>186</v>
      </c>
      <c r="D55" s="2" t="s">
        <v>349</v>
      </c>
      <c r="E55" s="2">
        <v>224330240</v>
      </c>
      <c r="F55" s="2">
        <v>16.010000000000002</v>
      </c>
      <c r="G55" s="2">
        <v>16.27</v>
      </c>
      <c r="H55" s="2">
        <v>16.16</v>
      </c>
      <c r="I55" s="2">
        <v>15.94</v>
      </c>
      <c r="J55" s="2">
        <v>15.67</v>
      </c>
      <c r="K55" s="2">
        <v>15.84</v>
      </c>
      <c r="L55" s="2">
        <v>15.82</v>
      </c>
      <c r="M55" s="2">
        <v>16.05</v>
      </c>
      <c r="N55" s="2">
        <v>16.07</v>
      </c>
      <c r="O55" s="2">
        <v>16.149999999999999</v>
      </c>
      <c r="P55" s="2">
        <v>0.95</v>
      </c>
      <c r="Q55" s="2">
        <v>15.3</v>
      </c>
      <c r="R55" s="2">
        <v>17.420000000000002</v>
      </c>
      <c r="S55" s="2">
        <v>16.11</v>
      </c>
      <c r="T55" s="2">
        <v>-0.2</v>
      </c>
      <c r="U55" s="2">
        <v>14.66</v>
      </c>
      <c r="V55" s="2">
        <v>15.77</v>
      </c>
      <c r="W55" s="2">
        <v>15.55</v>
      </c>
      <c r="X55" s="2">
        <v>14.63</v>
      </c>
      <c r="Y55" s="2">
        <v>17.48</v>
      </c>
      <c r="Z55" s="2">
        <v>17.78</v>
      </c>
      <c r="AA55" s="2">
        <v>19.010000000000002</v>
      </c>
      <c r="AB55" s="2">
        <v>16200</v>
      </c>
      <c r="AC55" s="2">
        <v>11400</v>
      </c>
      <c r="AD55" s="2">
        <v>15500</v>
      </c>
      <c r="AE55" s="2">
        <v>5900</v>
      </c>
      <c r="AF55" s="2">
        <v>14500</v>
      </c>
      <c r="AG55" s="2">
        <f>AVERAGE(AB55:AF55)</f>
        <v>12700</v>
      </c>
      <c r="AH55" s="2">
        <v>1</v>
      </c>
      <c r="AI55" s="2">
        <v>0</v>
      </c>
      <c r="AJ55" s="2">
        <v>1</v>
      </c>
      <c r="AK55" s="2">
        <v>1</v>
      </c>
      <c r="AL55" s="2">
        <v>1</v>
      </c>
      <c r="AM55" s="2">
        <v>0</v>
      </c>
      <c r="AN55" s="2">
        <v>0</v>
      </c>
      <c r="AO55" s="2">
        <v>0</v>
      </c>
      <c r="AP55" s="2">
        <v>1</v>
      </c>
      <c r="AQ55" s="2">
        <v>0</v>
      </c>
      <c r="AR55" s="2">
        <v>1</v>
      </c>
      <c r="AS55" s="2">
        <v>7.59</v>
      </c>
      <c r="AT55" s="2">
        <v>17.71</v>
      </c>
      <c r="AU55" s="2">
        <v>84.6</v>
      </c>
      <c r="AV55" s="2">
        <v>15.4</v>
      </c>
      <c r="AW55" s="2">
        <v>0</v>
      </c>
      <c r="AX55" s="2">
        <v>1</v>
      </c>
      <c r="AY55" s="2">
        <v>54</v>
      </c>
      <c r="AZ55" s="2">
        <v>51.2</v>
      </c>
      <c r="BA55" s="2">
        <v>50.3</v>
      </c>
      <c r="BB55" s="2">
        <v>52.1</v>
      </c>
      <c r="BC55" s="2">
        <v>53</v>
      </c>
      <c r="BD55" s="2">
        <v>0</v>
      </c>
      <c r="BE55" s="2">
        <v>9.4</v>
      </c>
      <c r="BF55" s="2">
        <v>5.0999999999999996</v>
      </c>
      <c r="BG55" s="2">
        <v>0</v>
      </c>
      <c r="BH55" s="2">
        <v>0</v>
      </c>
      <c r="BI55" s="2">
        <v>32.5</v>
      </c>
      <c r="BJ55" s="2">
        <v>1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 t="s">
        <v>137</v>
      </c>
      <c r="BV55" s="2">
        <v>19</v>
      </c>
      <c r="BW55" s="2">
        <v>19</v>
      </c>
      <c r="BX55" s="2">
        <v>19</v>
      </c>
      <c r="BY55" s="2">
        <v>1</v>
      </c>
      <c r="BZ55" s="2">
        <v>1</v>
      </c>
      <c r="CA55" s="2">
        <v>0</v>
      </c>
      <c r="CB55" s="2">
        <v>0</v>
      </c>
      <c r="CC55" s="2">
        <v>0</v>
      </c>
      <c r="CD55" s="2">
        <v>2</v>
      </c>
      <c r="CE55" s="2">
        <v>2</v>
      </c>
      <c r="CF55" s="2">
        <v>0</v>
      </c>
      <c r="CG55" s="2">
        <v>0</v>
      </c>
      <c r="CH55" s="2" t="s">
        <v>152</v>
      </c>
      <c r="CI55" s="2">
        <v>17.600000000000001</v>
      </c>
      <c r="CJ55" s="2" t="s">
        <v>139</v>
      </c>
      <c r="CK55" s="2">
        <v>1</v>
      </c>
      <c r="CL55" s="2">
        <v>19</v>
      </c>
      <c r="CM55" s="2" t="s">
        <v>350</v>
      </c>
      <c r="CN55" s="2">
        <v>4.0999997000000003E-2</v>
      </c>
      <c r="CO55" s="2">
        <v>7.43</v>
      </c>
      <c r="CP55" s="2">
        <v>2</v>
      </c>
      <c r="CQ55" s="2" t="s">
        <v>137</v>
      </c>
      <c r="CR55" s="2">
        <v>0.23499999999999999</v>
      </c>
      <c r="CS55" s="2">
        <v>0.17499999999999999</v>
      </c>
      <c r="CT55" s="2">
        <v>0.06</v>
      </c>
      <c r="CU55" s="2">
        <v>0.23499999999999999</v>
      </c>
      <c r="CV55" s="2">
        <v>2</v>
      </c>
      <c r="CW55" s="2">
        <v>-2.0799999999999999E-2</v>
      </c>
      <c r="CX55" s="2">
        <v>9.1499999999999998E-2</v>
      </c>
      <c r="CY55" s="2">
        <v>26.92</v>
      </c>
      <c r="CZ55" s="2">
        <v>19.11</v>
      </c>
      <c r="DA55" s="2" t="s">
        <v>148</v>
      </c>
      <c r="DB55" s="2">
        <v>0</v>
      </c>
      <c r="DC55" s="2">
        <v>0</v>
      </c>
      <c r="DD55" s="2">
        <v>0.5</v>
      </c>
      <c r="DE55" s="2">
        <v>0</v>
      </c>
      <c r="DF55" s="2">
        <v>0</v>
      </c>
      <c r="DG55" s="2">
        <v>11990000</v>
      </c>
      <c r="DH55" s="2">
        <v>5.34</v>
      </c>
      <c r="DI55" s="2">
        <v>39.770000000000003</v>
      </c>
      <c r="DJ55" s="2">
        <v>12046000</v>
      </c>
      <c r="DK55" s="2">
        <v>-56000</v>
      </c>
      <c r="DL55" s="2">
        <v>1640000</v>
      </c>
      <c r="DM55" s="2" t="s">
        <v>137</v>
      </c>
      <c r="DN55" s="2" t="s">
        <v>137</v>
      </c>
      <c r="DO55" s="2" t="s">
        <v>137</v>
      </c>
      <c r="DP55" s="2">
        <v>2.74</v>
      </c>
      <c r="DQ55" s="2">
        <v>2.5</v>
      </c>
      <c r="DR55" s="2" t="s">
        <v>137</v>
      </c>
      <c r="DS55" s="2">
        <v>26.92</v>
      </c>
      <c r="DT55" s="2">
        <v>19.11</v>
      </c>
      <c r="DU55" s="2" t="s">
        <v>137</v>
      </c>
      <c r="DV55" s="2">
        <v>18.07</v>
      </c>
      <c r="DW55" s="2">
        <v>18.71</v>
      </c>
      <c r="DX55" s="2">
        <v>0.74</v>
      </c>
      <c r="DY55" s="2">
        <v>0</v>
      </c>
      <c r="DZ55" s="2">
        <v>36</v>
      </c>
      <c r="EA55" s="2">
        <v>10</v>
      </c>
      <c r="EB55" s="2">
        <v>1</v>
      </c>
      <c r="EC55" s="2">
        <v>46</v>
      </c>
      <c r="ED55" s="2">
        <v>0</v>
      </c>
    </row>
    <row r="56" spans="1:134" hidden="1" x14ac:dyDescent="0.2">
      <c r="A56" s="2" t="s">
        <v>351</v>
      </c>
      <c r="B56" s="2" t="s">
        <v>352</v>
      </c>
      <c r="C56" s="2" t="s">
        <v>135</v>
      </c>
      <c r="D56" s="2" t="s">
        <v>136</v>
      </c>
      <c r="E56" s="2">
        <v>1043310464</v>
      </c>
      <c r="F56" s="2">
        <v>33.85</v>
      </c>
      <c r="G56" s="2">
        <v>34.44</v>
      </c>
      <c r="H56" s="2">
        <v>33.97</v>
      </c>
      <c r="I56" s="2">
        <v>34.049999999999997</v>
      </c>
      <c r="J56" s="2">
        <v>34.49</v>
      </c>
      <c r="K56" s="2">
        <v>34.53</v>
      </c>
      <c r="L56" s="2">
        <v>34.9</v>
      </c>
      <c r="M56" s="2">
        <v>34.58</v>
      </c>
      <c r="N56" s="2">
        <v>34.950000000000003</v>
      </c>
      <c r="O56" s="2">
        <v>35.090000000000003</v>
      </c>
      <c r="P56" s="2">
        <v>1.08</v>
      </c>
      <c r="Q56" s="2">
        <v>32.81</v>
      </c>
      <c r="R56" s="2">
        <v>38.51</v>
      </c>
      <c r="S56" s="2">
        <v>35.11</v>
      </c>
      <c r="T56" s="2">
        <v>0.1</v>
      </c>
      <c r="U56" s="2">
        <v>31.23</v>
      </c>
      <c r="V56" s="2">
        <v>33.35</v>
      </c>
      <c r="W56" s="2">
        <v>32.44</v>
      </c>
      <c r="X56" s="2">
        <v>28.63</v>
      </c>
      <c r="Y56" s="2">
        <v>35.479999999999997</v>
      </c>
      <c r="Z56" s="2">
        <v>36.5</v>
      </c>
      <c r="AA56" s="2" t="s">
        <v>137</v>
      </c>
      <c r="AB56" s="2">
        <v>239500</v>
      </c>
      <c r="AC56" s="2">
        <v>228100</v>
      </c>
      <c r="AD56" s="2">
        <v>177300</v>
      </c>
      <c r="AE56" s="2">
        <v>403500</v>
      </c>
      <c r="AF56" s="2">
        <v>164400</v>
      </c>
      <c r="AG56" s="2">
        <f>AVERAGE(AB56:AF56)</f>
        <v>242560</v>
      </c>
      <c r="AH56" s="2">
        <v>1</v>
      </c>
      <c r="AI56" s="2">
        <v>1</v>
      </c>
      <c r="AJ56" s="2">
        <v>1</v>
      </c>
      <c r="AK56" s="2">
        <v>0</v>
      </c>
      <c r="AL56" s="2">
        <v>1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1</v>
      </c>
      <c r="AS56" s="2">
        <v>20.88</v>
      </c>
      <c r="AT56" s="2">
        <v>35.21</v>
      </c>
      <c r="AU56" s="2">
        <v>99.2</v>
      </c>
      <c r="AV56" s="2">
        <v>0.8</v>
      </c>
      <c r="AW56" s="2">
        <v>0</v>
      </c>
      <c r="AX56" s="2">
        <v>1</v>
      </c>
      <c r="AY56" s="2">
        <v>60.8</v>
      </c>
      <c r="AZ56" s="2">
        <v>57.7</v>
      </c>
      <c r="BA56" s="2">
        <v>60.4</v>
      </c>
      <c r="BB56" s="2">
        <v>60.7</v>
      </c>
      <c r="BC56" s="2">
        <v>63.5</v>
      </c>
      <c r="BD56" s="2">
        <v>0</v>
      </c>
      <c r="BE56" s="2">
        <v>40.1</v>
      </c>
      <c r="BF56" s="2">
        <v>25.2</v>
      </c>
      <c r="BG56" s="2">
        <v>0</v>
      </c>
      <c r="BH56" s="2">
        <v>0</v>
      </c>
      <c r="BI56" s="2">
        <v>39</v>
      </c>
      <c r="BJ56" s="2">
        <v>1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 t="s">
        <v>137</v>
      </c>
      <c r="BV56" s="2">
        <v>39</v>
      </c>
      <c r="BW56" s="2">
        <v>42</v>
      </c>
      <c r="BX56" s="2">
        <v>36</v>
      </c>
      <c r="BY56" s="2">
        <v>1</v>
      </c>
      <c r="BZ56" s="2">
        <v>1</v>
      </c>
      <c r="CA56" s="2">
        <v>1</v>
      </c>
      <c r="CB56" s="2">
        <v>0</v>
      </c>
      <c r="CC56" s="2">
        <v>0</v>
      </c>
      <c r="CD56" s="2">
        <v>3</v>
      </c>
      <c r="CE56" s="2">
        <v>2</v>
      </c>
      <c r="CF56" s="2">
        <v>1</v>
      </c>
      <c r="CG56" s="2">
        <v>0</v>
      </c>
      <c r="CH56" s="2" t="s">
        <v>152</v>
      </c>
      <c r="CI56" s="2">
        <v>11.1</v>
      </c>
      <c r="CJ56" s="2" t="s">
        <v>139</v>
      </c>
      <c r="CK56" s="2">
        <v>1</v>
      </c>
      <c r="CL56" s="2">
        <v>39</v>
      </c>
      <c r="CM56" s="2" t="s">
        <v>353</v>
      </c>
      <c r="CN56" s="2">
        <v>2.9700000000000001E-2</v>
      </c>
      <c r="CO56" s="2">
        <v>2.54</v>
      </c>
      <c r="CP56" s="2">
        <v>1</v>
      </c>
      <c r="CQ56" s="2" t="s">
        <v>137</v>
      </c>
      <c r="CR56" s="2">
        <v>0.76666999999999996</v>
      </c>
      <c r="CS56" s="2">
        <v>0.60667000000000004</v>
      </c>
      <c r="CT56" s="2">
        <v>0.15999999999999989</v>
      </c>
      <c r="CU56" s="2">
        <v>0.76666999999999996</v>
      </c>
      <c r="CV56" s="2">
        <v>3</v>
      </c>
      <c r="CW56" s="2">
        <v>-0.50849999999999995</v>
      </c>
      <c r="CX56" s="2">
        <v>-0.17249999999999999</v>
      </c>
      <c r="CY56" s="2">
        <v>5.01</v>
      </c>
      <c r="CZ56" s="2">
        <v>6.77</v>
      </c>
      <c r="DA56" s="2" t="s">
        <v>244</v>
      </c>
      <c r="DB56" s="2">
        <v>0</v>
      </c>
      <c r="DC56" s="2">
        <v>0</v>
      </c>
      <c r="DD56" s="2">
        <v>0.5</v>
      </c>
      <c r="DE56" s="2">
        <v>0</v>
      </c>
      <c r="DF56" s="2">
        <v>0</v>
      </c>
      <c r="DG56" s="2">
        <v>174164000</v>
      </c>
      <c r="DH56" s="2">
        <v>16.690000000000001</v>
      </c>
      <c r="DI56" s="2">
        <v>20.38</v>
      </c>
      <c r="DJ56" s="2">
        <v>182238000</v>
      </c>
      <c r="DK56" s="2">
        <v>-8074000</v>
      </c>
      <c r="DL56" s="2">
        <v>587596992</v>
      </c>
      <c r="DM56" s="2">
        <v>91834000</v>
      </c>
      <c r="DN56" s="2">
        <v>495762992</v>
      </c>
      <c r="DO56" s="2">
        <v>6.4</v>
      </c>
      <c r="DP56" s="2">
        <v>0.82</v>
      </c>
      <c r="DQ56" s="2">
        <v>0.38</v>
      </c>
      <c r="DR56" s="2" t="s">
        <v>137</v>
      </c>
      <c r="DS56" s="2">
        <v>5.01</v>
      </c>
      <c r="DT56" s="2">
        <v>6.77</v>
      </c>
      <c r="DU56" s="2" t="s">
        <v>137</v>
      </c>
      <c r="DV56" s="2">
        <v>1.68</v>
      </c>
      <c r="DW56" s="2">
        <v>5.99</v>
      </c>
      <c r="DX56" s="2">
        <v>0</v>
      </c>
      <c r="DY56" s="2">
        <v>0</v>
      </c>
      <c r="DZ56" s="2">
        <v>32</v>
      </c>
      <c r="EA56" s="2">
        <v>20</v>
      </c>
      <c r="EB56" s="2">
        <v>2</v>
      </c>
      <c r="EC56" s="2">
        <v>52</v>
      </c>
      <c r="ED56" s="2">
        <v>0</v>
      </c>
    </row>
    <row r="57" spans="1:134" x14ac:dyDescent="0.2">
      <c r="A57" t="s">
        <v>457</v>
      </c>
      <c r="B57" t="s">
        <v>458</v>
      </c>
      <c r="C57" t="s">
        <v>309</v>
      </c>
      <c r="D57" t="s">
        <v>413</v>
      </c>
      <c r="E57">
        <v>1461264896</v>
      </c>
      <c r="F57">
        <v>22.72</v>
      </c>
      <c r="G57">
        <v>22.21</v>
      </c>
      <c r="H57">
        <v>22.1</v>
      </c>
      <c r="I57">
        <v>21.65</v>
      </c>
      <c r="J57">
        <v>21.45</v>
      </c>
      <c r="K57">
        <v>20.8</v>
      </c>
      <c r="L57">
        <v>21.24</v>
      </c>
      <c r="M57">
        <v>21.19</v>
      </c>
      <c r="N57">
        <v>21.32</v>
      </c>
      <c r="O57">
        <v>21.26</v>
      </c>
      <c r="P57">
        <v>0.81</v>
      </c>
      <c r="Q57">
        <v>20.309999999999999</v>
      </c>
      <c r="R57">
        <v>22.69</v>
      </c>
      <c r="S57">
        <v>21.26</v>
      </c>
      <c r="T57">
        <v>0</v>
      </c>
      <c r="U57">
        <v>22.41</v>
      </c>
      <c r="V57">
        <v>20.72</v>
      </c>
      <c r="W57">
        <v>20.27</v>
      </c>
      <c r="X57">
        <v>19.11</v>
      </c>
      <c r="Y57">
        <v>21.48</v>
      </c>
      <c r="Z57">
        <v>22.29</v>
      </c>
      <c r="AA57">
        <v>22.97</v>
      </c>
      <c r="AB57">
        <v>593500</v>
      </c>
      <c r="AC57">
        <v>473400</v>
      </c>
      <c r="AD57">
        <v>681700</v>
      </c>
      <c r="AE57">
        <v>613000</v>
      </c>
      <c r="AF57">
        <v>400000</v>
      </c>
      <c r="AG57" s="2">
        <f>AVERAGE(AB57:AF57)</f>
        <v>552320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13.88</v>
      </c>
      <c r="AT57">
        <v>24.49</v>
      </c>
      <c r="AU57">
        <v>69.599999999999994</v>
      </c>
      <c r="AV57">
        <v>30.4</v>
      </c>
      <c r="AW57">
        <v>0</v>
      </c>
      <c r="AX57">
        <v>1</v>
      </c>
      <c r="AY57">
        <v>45</v>
      </c>
      <c r="AZ57">
        <v>40.4</v>
      </c>
      <c r="BA57">
        <v>34.6</v>
      </c>
      <c r="BB57">
        <v>38.9</v>
      </c>
      <c r="BC57">
        <v>39.700000000000003</v>
      </c>
      <c r="BD57">
        <v>1</v>
      </c>
      <c r="BE57">
        <v>13.7</v>
      </c>
      <c r="BF57">
        <v>8.9</v>
      </c>
      <c r="BG57">
        <v>0</v>
      </c>
      <c r="BH57">
        <v>0</v>
      </c>
      <c r="BI57">
        <v>20.5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2</v>
      </c>
      <c r="BV57">
        <v>35</v>
      </c>
      <c r="BW57">
        <v>35</v>
      </c>
      <c r="BX57">
        <v>35</v>
      </c>
      <c r="BY57">
        <v>0</v>
      </c>
      <c r="BZ57">
        <v>1</v>
      </c>
      <c r="CA57">
        <v>1</v>
      </c>
      <c r="CB57">
        <v>0</v>
      </c>
      <c r="CC57">
        <v>0</v>
      </c>
      <c r="CD57">
        <v>2</v>
      </c>
      <c r="CE57">
        <v>1</v>
      </c>
      <c r="CF57">
        <v>1</v>
      </c>
      <c r="CG57">
        <v>0</v>
      </c>
      <c r="CH57" t="s">
        <v>138</v>
      </c>
      <c r="CI57">
        <v>64.599999999999994</v>
      </c>
      <c r="CJ57" t="s">
        <v>139</v>
      </c>
      <c r="CK57">
        <v>1</v>
      </c>
      <c r="CL57">
        <v>35</v>
      </c>
      <c r="CM57" t="s">
        <v>459</v>
      </c>
      <c r="CN57">
        <v>8.1199995999999997E-2</v>
      </c>
      <c r="CO57">
        <v>7.29</v>
      </c>
      <c r="CP57">
        <v>1</v>
      </c>
      <c r="CQ57" t="s">
        <v>137</v>
      </c>
      <c r="CR57">
        <v>0.35499999999999998</v>
      </c>
      <c r="CS57">
        <v>0.35499999999999998</v>
      </c>
      <c r="CT57">
        <v>0</v>
      </c>
      <c r="CU57">
        <v>0.35499999999999998</v>
      </c>
      <c r="CV57">
        <v>4</v>
      </c>
      <c r="CW57">
        <v>-0.21110001</v>
      </c>
      <c r="CX57">
        <v>8.3299999999999999E-2</v>
      </c>
      <c r="CY57">
        <v>16.11</v>
      </c>
      <c r="CZ57">
        <v>8.99</v>
      </c>
      <c r="DA57" t="s">
        <v>460</v>
      </c>
      <c r="DB57">
        <v>1</v>
      </c>
      <c r="DC57">
        <v>0</v>
      </c>
      <c r="DD57">
        <v>1</v>
      </c>
      <c r="DE57">
        <v>0</v>
      </c>
      <c r="DF57">
        <v>0</v>
      </c>
      <c r="DG57">
        <v>77600000</v>
      </c>
      <c r="DH57">
        <v>5.31</v>
      </c>
      <c r="DI57">
        <v>2.02</v>
      </c>
      <c r="DJ57">
        <v>199900000</v>
      </c>
      <c r="DK57">
        <v>-122300000</v>
      </c>
      <c r="DL57">
        <v>167700000</v>
      </c>
      <c r="DM57">
        <v>1802000000</v>
      </c>
      <c r="DN57">
        <v>-1634300000</v>
      </c>
      <c r="DO57">
        <v>0.09</v>
      </c>
      <c r="DP57">
        <v>1.58</v>
      </c>
      <c r="DQ57">
        <v>0.75</v>
      </c>
      <c r="DR57">
        <v>0.88</v>
      </c>
      <c r="DS57">
        <v>16.11</v>
      </c>
      <c r="DT57">
        <v>8.99</v>
      </c>
      <c r="DU57">
        <v>0.88</v>
      </c>
      <c r="DV57">
        <v>8.85</v>
      </c>
      <c r="DW57">
        <v>18.829999999999998</v>
      </c>
      <c r="DX57">
        <v>4.28</v>
      </c>
      <c r="DY57">
        <v>0</v>
      </c>
      <c r="DZ57">
        <v>42</v>
      </c>
      <c r="EA57">
        <v>30</v>
      </c>
      <c r="EB57">
        <v>3</v>
      </c>
      <c r="EC57">
        <v>72</v>
      </c>
      <c r="ED57">
        <v>1</v>
      </c>
    </row>
    <row r="58" spans="1:134" hidden="1" x14ac:dyDescent="0.2">
      <c r="A58" s="2" t="s">
        <v>358</v>
      </c>
      <c r="B58" s="2" t="s">
        <v>359</v>
      </c>
      <c r="C58" s="2" t="s">
        <v>309</v>
      </c>
      <c r="D58" s="2" t="s">
        <v>360</v>
      </c>
      <c r="E58" s="2">
        <v>433970624</v>
      </c>
      <c r="F58" s="2">
        <v>28.34</v>
      </c>
      <c r="G58" s="2">
        <v>28.01</v>
      </c>
      <c r="H58" s="2">
        <v>27.76</v>
      </c>
      <c r="I58" s="2">
        <v>27.43</v>
      </c>
      <c r="J58" s="2">
        <v>27.27</v>
      </c>
      <c r="K58" s="2">
        <v>27.31</v>
      </c>
      <c r="L58" s="2">
        <v>27.44</v>
      </c>
      <c r="M58" s="2">
        <v>27.6</v>
      </c>
      <c r="N58" s="2">
        <v>27.45</v>
      </c>
      <c r="O58" s="2">
        <v>27.83</v>
      </c>
      <c r="P58" s="2">
        <v>0.76</v>
      </c>
      <c r="Q58" s="2">
        <v>27.4</v>
      </c>
      <c r="R58" s="2">
        <v>28.47</v>
      </c>
      <c r="S58" s="2">
        <v>27.83</v>
      </c>
      <c r="T58" s="2">
        <v>0</v>
      </c>
      <c r="U58" s="2">
        <v>26.87</v>
      </c>
      <c r="V58" s="2">
        <v>27.78</v>
      </c>
      <c r="W58" s="2">
        <v>27.09</v>
      </c>
      <c r="X58" s="2">
        <v>26.65</v>
      </c>
      <c r="Y58" s="2">
        <v>27.89</v>
      </c>
      <c r="Z58" s="2">
        <v>28.74</v>
      </c>
      <c r="AA58" s="2">
        <v>29.83</v>
      </c>
      <c r="AB58" s="2">
        <v>93300</v>
      </c>
      <c r="AC58" s="2">
        <v>116200</v>
      </c>
      <c r="AD58" s="2">
        <v>103500</v>
      </c>
      <c r="AE58" s="2">
        <v>82900</v>
      </c>
      <c r="AF58" s="2">
        <v>107600</v>
      </c>
      <c r="AG58" s="2">
        <f>AVERAGE(AB58:AF58)</f>
        <v>100700</v>
      </c>
      <c r="AH58" s="2">
        <v>0</v>
      </c>
      <c r="AI58" s="2">
        <v>0</v>
      </c>
      <c r="AJ58" s="2">
        <v>1</v>
      </c>
      <c r="AK58" s="2">
        <v>1</v>
      </c>
      <c r="AL58" s="2">
        <v>1</v>
      </c>
      <c r="AM58" s="2">
        <v>0</v>
      </c>
      <c r="AN58" s="2">
        <v>0</v>
      </c>
      <c r="AO58" s="2">
        <v>0</v>
      </c>
      <c r="AP58" s="2">
        <v>1</v>
      </c>
      <c r="AQ58" s="2">
        <v>1</v>
      </c>
      <c r="AR58" s="2">
        <v>1</v>
      </c>
      <c r="AS58" s="2">
        <v>19.989999999999998</v>
      </c>
      <c r="AT58" s="2">
        <v>29.09</v>
      </c>
      <c r="AU58" s="2">
        <v>86.2</v>
      </c>
      <c r="AV58" s="2">
        <v>13.8</v>
      </c>
      <c r="AW58" s="2">
        <v>0</v>
      </c>
      <c r="AX58" s="2">
        <v>1</v>
      </c>
      <c r="AY58" s="2">
        <v>55.9</v>
      </c>
      <c r="AZ58" s="2">
        <v>49.9</v>
      </c>
      <c r="BA58" s="2">
        <v>48.7</v>
      </c>
      <c r="BB58" s="2">
        <v>51.7</v>
      </c>
      <c r="BC58" s="2">
        <v>53.9</v>
      </c>
      <c r="BD58" s="2">
        <v>1</v>
      </c>
      <c r="BE58" s="2">
        <v>19.7</v>
      </c>
      <c r="BF58" s="2">
        <v>15.4</v>
      </c>
      <c r="BG58" s="2">
        <v>0</v>
      </c>
      <c r="BH58" s="2">
        <v>0</v>
      </c>
      <c r="BI58" s="2">
        <v>13.7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33</v>
      </c>
      <c r="BW58" s="2">
        <v>36</v>
      </c>
      <c r="BX58" s="2">
        <v>30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 t="s">
        <v>268</v>
      </c>
      <c r="CI58" s="2">
        <v>18.600000000000001</v>
      </c>
      <c r="CJ58" s="2" t="s">
        <v>139</v>
      </c>
      <c r="CK58" s="2">
        <v>0</v>
      </c>
      <c r="CL58" s="2">
        <v>33</v>
      </c>
      <c r="CM58" s="2" t="s">
        <v>361</v>
      </c>
      <c r="CN58" s="2">
        <v>5.9999996999999996E-4</v>
      </c>
      <c r="CO58" s="2">
        <v>0.05</v>
      </c>
      <c r="CP58" s="2">
        <v>0</v>
      </c>
      <c r="CQ58" s="2" t="s">
        <v>137</v>
      </c>
      <c r="CR58" s="2">
        <v>0.42</v>
      </c>
      <c r="CS58" s="2">
        <v>0.42</v>
      </c>
      <c r="CT58" s="2">
        <v>0</v>
      </c>
      <c r="CU58" s="2">
        <v>0.42</v>
      </c>
      <c r="CV58" s="2">
        <v>2</v>
      </c>
      <c r="CW58" s="2">
        <v>0.5</v>
      </c>
      <c r="CX58" s="2">
        <v>0.42020000000000002</v>
      </c>
      <c r="CY58" s="2">
        <v>20.170000000000002</v>
      </c>
      <c r="CZ58" s="2">
        <v>10.56</v>
      </c>
      <c r="DA58" s="2" t="s">
        <v>160</v>
      </c>
      <c r="DB58" s="2">
        <v>1</v>
      </c>
      <c r="DC58" s="2">
        <v>1</v>
      </c>
      <c r="DD58" s="2">
        <v>1.5</v>
      </c>
      <c r="DE58" s="2">
        <v>0</v>
      </c>
      <c r="DF58" s="2">
        <v>0</v>
      </c>
      <c r="DG58" s="2">
        <v>32972000</v>
      </c>
      <c r="DH58" s="2">
        <v>7.6</v>
      </c>
      <c r="DI58" s="2">
        <v>4.2300000000000004</v>
      </c>
      <c r="DJ58" s="2">
        <v>52644000</v>
      </c>
      <c r="DK58" s="2">
        <v>-19672000</v>
      </c>
      <c r="DL58" s="2">
        <v>104295000</v>
      </c>
      <c r="DM58" s="2">
        <v>230712992</v>
      </c>
      <c r="DN58" s="2">
        <v>-126417992</v>
      </c>
      <c r="DO58" s="2">
        <v>0.45</v>
      </c>
      <c r="DP58" s="2">
        <v>1.69</v>
      </c>
      <c r="DQ58" s="2">
        <v>0.74</v>
      </c>
      <c r="DR58" s="2">
        <v>0.76</v>
      </c>
      <c r="DS58" s="2">
        <v>20.170000000000002</v>
      </c>
      <c r="DT58" s="2">
        <v>10.56</v>
      </c>
      <c r="DU58" s="2">
        <v>0.76</v>
      </c>
      <c r="DV58" s="2">
        <v>11.03</v>
      </c>
      <c r="DW58" s="2">
        <v>13.16</v>
      </c>
      <c r="DX58" s="2">
        <v>0.64</v>
      </c>
      <c r="DY58" s="2">
        <v>0</v>
      </c>
      <c r="DZ58" s="2">
        <v>40</v>
      </c>
      <c r="EA58" s="2">
        <v>30</v>
      </c>
      <c r="EB58" s="2">
        <v>3</v>
      </c>
      <c r="EC58" s="2">
        <v>70</v>
      </c>
      <c r="ED58" s="2">
        <v>0</v>
      </c>
    </row>
    <row r="59" spans="1:134" hidden="1" x14ac:dyDescent="0.2">
      <c r="A59" s="2" t="s">
        <v>362</v>
      </c>
      <c r="B59" s="2" t="s">
        <v>363</v>
      </c>
      <c r="C59" s="2" t="s">
        <v>241</v>
      </c>
      <c r="D59" s="2" t="s">
        <v>364</v>
      </c>
      <c r="E59" s="2">
        <v>260464448</v>
      </c>
      <c r="F59" s="2">
        <v>5.15</v>
      </c>
      <c r="G59" s="2">
        <v>5.09</v>
      </c>
      <c r="H59" s="2">
        <v>5.08</v>
      </c>
      <c r="I59" s="2">
        <v>5.0599999999999996</v>
      </c>
      <c r="J59" s="2">
        <v>5.04</v>
      </c>
      <c r="K59" s="2">
        <v>5.07</v>
      </c>
      <c r="L59" s="2">
        <v>5.12</v>
      </c>
      <c r="M59" s="2">
        <v>5.19</v>
      </c>
      <c r="N59" s="2">
        <v>5.2</v>
      </c>
      <c r="O59" s="2">
        <v>5.38</v>
      </c>
      <c r="P59" s="2">
        <v>0.17</v>
      </c>
      <c r="Q59" s="2">
        <v>4.91</v>
      </c>
      <c r="R59" s="2">
        <v>6.09</v>
      </c>
      <c r="S59" s="2">
        <v>5.39</v>
      </c>
      <c r="T59" s="2">
        <v>0.2</v>
      </c>
      <c r="U59" s="2">
        <v>4.62</v>
      </c>
      <c r="V59" s="2">
        <v>4.99</v>
      </c>
      <c r="W59" s="2">
        <v>4.8899999999999997</v>
      </c>
      <c r="X59" s="2">
        <v>4.84</v>
      </c>
      <c r="Y59" s="2" t="s">
        <v>137</v>
      </c>
      <c r="Z59" s="2" t="s">
        <v>137</v>
      </c>
      <c r="AA59" s="2" t="s">
        <v>137</v>
      </c>
      <c r="AB59" s="2">
        <v>134300</v>
      </c>
      <c r="AC59" s="2">
        <v>175600</v>
      </c>
      <c r="AD59" s="2">
        <v>144400</v>
      </c>
      <c r="AE59" s="2">
        <v>159900</v>
      </c>
      <c r="AF59" s="2">
        <v>240300</v>
      </c>
      <c r="AG59" s="2">
        <f>AVERAGE(AB59:AF59)</f>
        <v>170900</v>
      </c>
      <c r="AH59" s="2">
        <v>0</v>
      </c>
      <c r="AI59" s="2">
        <v>0</v>
      </c>
      <c r="AJ59" s="2">
        <v>1</v>
      </c>
      <c r="AK59" s="2">
        <v>1</v>
      </c>
      <c r="AL59" s="2">
        <v>1</v>
      </c>
      <c r="AM59" s="2">
        <v>0</v>
      </c>
      <c r="AN59" s="2">
        <v>0</v>
      </c>
      <c r="AO59" s="2">
        <v>0</v>
      </c>
      <c r="AP59" s="2">
        <v>1</v>
      </c>
      <c r="AQ59" s="2">
        <v>1</v>
      </c>
      <c r="AR59" s="2">
        <v>1</v>
      </c>
      <c r="AS59" s="2">
        <v>3.76</v>
      </c>
      <c r="AT59" s="2">
        <v>6.1</v>
      </c>
      <c r="AU59" s="2">
        <v>69.2</v>
      </c>
      <c r="AV59" s="2">
        <v>30.8</v>
      </c>
      <c r="AW59" s="2">
        <v>1</v>
      </c>
      <c r="AX59" s="2">
        <v>1</v>
      </c>
      <c r="AY59" s="2">
        <v>59.6</v>
      </c>
      <c r="AZ59" s="2">
        <v>57.9</v>
      </c>
      <c r="BA59" s="2">
        <v>58.3</v>
      </c>
      <c r="BB59" s="2">
        <v>63.2</v>
      </c>
      <c r="BC59" s="2">
        <v>69.3</v>
      </c>
      <c r="BD59" s="2">
        <v>0</v>
      </c>
      <c r="BE59" s="2">
        <v>54.3</v>
      </c>
      <c r="BF59" s="2">
        <v>25.6</v>
      </c>
      <c r="BG59" s="2">
        <v>0</v>
      </c>
      <c r="BH59" s="2">
        <v>0</v>
      </c>
      <c r="BI59" s="2">
        <v>26.4</v>
      </c>
      <c r="BJ59" s="2">
        <v>1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 t="s">
        <v>137</v>
      </c>
      <c r="BV59" s="2">
        <v>6.8025000000000002</v>
      </c>
      <c r="BW59" s="2">
        <v>9</v>
      </c>
      <c r="BX59" s="2">
        <v>5.5</v>
      </c>
      <c r="BY59" s="2">
        <v>1</v>
      </c>
      <c r="BZ59" s="2">
        <v>1</v>
      </c>
      <c r="CA59" s="2">
        <v>0</v>
      </c>
      <c r="CB59" s="2">
        <v>0</v>
      </c>
      <c r="CC59" s="2">
        <v>0</v>
      </c>
      <c r="CD59" s="2">
        <v>2</v>
      </c>
      <c r="CE59" s="2">
        <v>2</v>
      </c>
      <c r="CF59" s="2">
        <v>0</v>
      </c>
      <c r="CG59" s="2">
        <v>0</v>
      </c>
      <c r="CH59" s="2" t="s">
        <v>152</v>
      </c>
      <c r="CI59" s="2">
        <v>26.4</v>
      </c>
      <c r="CJ59" s="2" t="s">
        <v>139</v>
      </c>
      <c r="CK59" s="2">
        <v>0</v>
      </c>
      <c r="CL59" s="2">
        <v>7</v>
      </c>
      <c r="CM59" s="2" t="s">
        <v>365</v>
      </c>
      <c r="CN59" s="2">
        <v>2.0299998999999999E-2</v>
      </c>
      <c r="CO59" s="2">
        <v>2.68</v>
      </c>
      <c r="CP59" s="2">
        <v>0</v>
      </c>
      <c r="CQ59" s="2" t="s">
        <v>137</v>
      </c>
      <c r="CR59" s="2">
        <v>9.7500000000000003E-2</v>
      </c>
      <c r="CS59" s="2">
        <v>9.6670000000000006E-2</v>
      </c>
      <c r="CT59" s="2">
        <v>8.2999999999999741E-4</v>
      </c>
      <c r="CU59" s="2">
        <v>9.7500000000000003E-2</v>
      </c>
      <c r="CV59" s="2">
        <v>4</v>
      </c>
      <c r="CW59" s="2">
        <v>8.3299999999999999E-2</v>
      </c>
      <c r="CX59" s="2">
        <v>0.1515</v>
      </c>
      <c r="CY59" s="2">
        <v>22.42</v>
      </c>
      <c r="CZ59" s="2">
        <v>12.23</v>
      </c>
      <c r="DA59" s="2" t="s">
        <v>286</v>
      </c>
      <c r="DB59" s="2">
        <v>0</v>
      </c>
      <c r="DC59" s="2">
        <v>1</v>
      </c>
      <c r="DD59" s="2">
        <v>1</v>
      </c>
      <c r="DE59" s="2">
        <v>0</v>
      </c>
      <c r="DF59" s="2">
        <v>0</v>
      </c>
      <c r="DG59" s="2">
        <v>24989000</v>
      </c>
      <c r="DH59" s="2">
        <v>9.59</v>
      </c>
      <c r="DI59" s="2">
        <v>9.99</v>
      </c>
      <c r="DJ59" s="2">
        <v>29011000</v>
      </c>
      <c r="DK59" s="2">
        <v>-4022000</v>
      </c>
      <c r="DL59" s="2">
        <v>23681000</v>
      </c>
      <c r="DM59" s="2">
        <v>67502000</v>
      </c>
      <c r="DN59" s="2">
        <v>-43821000</v>
      </c>
      <c r="DO59" s="2">
        <v>0.35</v>
      </c>
      <c r="DP59" s="2">
        <v>2.81</v>
      </c>
      <c r="DQ59" s="2">
        <v>2.62</v>
      </c>
      <c r="DR59" s="2">
        <v>0.76</v>
      </c>
      <c r="DS59" s="2">
        <v>22.42</v>
      </c>
      <c r="DT59" s="2">
        <v>12.23</v>
      </c>
      <c r="DU59" s="2">
        <v>0.76</v>
      </c>
      <c r="DV59" s="2">
        <v>12.18</v>
      </c>
      <c r="DW59" s="2">
        <v>10.42</v>
      </c>
      <c r="DX59" s="2">
        <v>0</v>
      </c>
      <c r="DY59" s="2">
        <v>0</v>
      </c>
      <c r="DZ59" s="2">
        <v>42</v>
      </c>
      <c r="EA59" s="2">
        <v>30</v>
      </c>
      <c r="EB59" s="2">
        <v>3</v>
      </c>
      <c r="EC59" s="2">
        <v>72</v>
      </c>
      <c r="ED59" s="2">
        <v>0</v>
      </c>
    </row>
    <row r="60" spans="1:134" hidden="1" x14ac:dyDescent="0.2">
      <c r="A60" s="2" t="s">
        <v>366</v>
      </c>
      <c r="B60" s="2" t="s">
        <v>367</v>
      </c>
      <c r="C60" s="2" t="s">
        <v>144</v>
      </c>
      <c r="D60" s="2" t="s">
        <v>199</v>
      </c>
      <c r="E60" s="2">
        <v>243985456</v>
      </c>
      <c r="F60" s="2">
        <v>12.12</v>
      </c>
      <c r="G60" s="2">
        <v>11.89</v>
      </c>
      <c r="H60" s="2">
        <v>11.88</v>
      </c>
      <c r="I60" s="2">
        <v>12.2</v>
      </c>
      <c r="J60" s="2">
        <v>12.05</v>
      </c>
      <c r="K60" s="2">
        <v>12.12</v>
      </c>
      <c r="L60" s="2">
        <v>12.26</v>
      </c>
      <c r="M60" s="2">
        <v>12.15</v>
      </c>
      <c r="N60" s="2">
        <v>12.05</v>
      </c>
      <c r="O60" s="2">
        <v>12.25</v>
      </c>
      <c r="P60" s="2">
        <v>0.34</v>
      </c>
      <c r="Q60" s="2">
        <v>11.86</v>
      </c>
      <c r="R60" s="2">
        <v>12.84</v>
      </c>
      <c r="S60" s="2">
        <v>12.25</v>
      </c>
      <c r="T60" s="2">
        <v>0</v>
      </c>
      <c r="U60" s="2">
        <v>10.98</v>
      </c>
      <c r="V60" s="2">
        <v>12.03</v>
      </c>
      <c r="W60" s="2">
        <v>11.83</v>
      </c>
      <c r="X60" s="2">
        <v>9.4600000000000009</v>
      </c>
      <c r="Y60" s="2">
        <v>12.5</v>
      </c>
      <c r="Z60" s="2">
        <v>12.97</v>
      </c>
      <c r="AA60" s="2" t="s">
        <v>137</v>
      </c>
      <c r="AB60" s="2">
        <v>104800</v>
      </c>
      <c r="AC60" s="2">
        <v>175400</v>
      </c>
      <c r="AD60" s="2">
        <v>146400</v>
      </c>
      <c r="AE60" s="2">
        <v>137000</v>
      </c>
      <c r="AF60" s="2">
        <v>108300</v>
      </c>
      <c r="AG60" s="2">
        <f>AVERAGE(AB60:AF60)</f>
        <v>134380</v>
      </c>
      <c r="AH60" s="2">
        <v>0</v>
      </c>
      <c r="AI60" s="2">
        <v>1</v>
      </c>
      <c r="AJ60" s="2">
        <v>1</v>
      </c>
      <c r="AK60" s="2">
        <v>0</v>
      </c>
      <c r="AL60" s="2">
        <v>1</v>
      </c>
      <c r="AM60" s="2">
        <v>0</v>
      </c>
      <c r="AN60" s="2">
        <v>1</v>
      </c>
      <c r="AO60" s="2">
        <v>0</v>
      </c>
      <c r="AP60" s="2">
        <v>0</v>
      </c>
      <c r="AQ60" s="2">
        <v>0</v>
      </c>
      <c r="AR60" s="2">
        <v>1</v>
      </c>
      <c r="AS60" s="2">
        <v>7.42</v>
      </c>
      <c r="AT60" s="2">
        <v>12.49</v>
      </c>
      <c r="AU60" s="2">
        <v>95.3</v>
      </c>
      <c r="AV60" s="2">
        <v>4.7</v>
      </c>
      <c r="AW60" s="2">
        <v>0</v>
      </c>
      <c r="AX60" s="2">
        <v>1</v>
      </c>
      <c r="AY60" s="2">
        <v>54.3</v>
      </c>
      <c r="AZ60" s="2">
        <v>59.8</v>
      </c>
      <c r="BA60" s="2">
        <v>57.9</v>
      </c>
      <c r="BB60" s="2">
        <v>58.4</v>
      </c>
      <c r="BC60" s="2">
        <v>60.3</v>
      </c>
      <c r="BD60" s="2">
        <v>0</v>
      </c>
      <c r="BE60" s="2">
        <v>48.6</v>
      </c>
      <c r="BF60" s="2">
        <v>41.2</v>
      </c>
      <c r="BG60" s="2">
        <v>0</v>
      </c>
      <c r="BH60" s="2">
        <v>0</v>
      </c>
      <c r="BI60" s="2">
        <v>35</v>
      </c>
      <c r="BJ60" s="2">
        <v>1</v>
      </c>
      <c r="BK60" s="2">
        <v>1</v>
      </c>
      <c r="BL60" s="2">
        <v>0</v>
      </c>
      <c r="BM60" s="2">
        <v>0</v>
      </c>
      <c r="BN60" s="2">
        <v>0</v>
      </c>
      <c r="BO60" s="2">
        <v>1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1</v>
      </c>
      <c r="BV60" s="2">
        <v>16.83333</v>
      </c>
      <c r="BW60" s="2">
        <v>18</v>
      </c>
      <c r="BX60" s="2">
        <v>15</v>
      </c>
      <c r="BY60" s="2">
        <v>0</v>
      </c>
      <c r="BZ60" s="2">
        <v>3</v>
      </c>
      <c r="CA60" s="2">
        <v>0</v>
      </c>
      <c r="CB60" s="2">
        <v>0</v>
      </c>
      <c r="CC60" s="2">
        <v>0</v>
      </c>
      <c r="CD60" s="2">
        <v>3</v>
      </c>
      <c r="CE60" s="2">
        <v>3</v>
      </c>
      <c r="CF60" s="2">
        <v>0</v>
      </c>
      <c r="CG60" s="2">
        <v>0</v>
      </c>
      <c r="CH60" s="2" t="s">
        <v>268</v>
      </c>
      <c r="CI60" s="2">
        <v>37.4</v>
      </c>
      <c r="CJ60" s="2" t="s">
        <v>237</v>
      </c>
      <c r="CK60" s="2">
        <v>1</v>
      </c>
      <c r="CL60" s="2">
        <v>16.829999999999998</v>
      </c>
      <c r="CM60" s="2" t="s">
        <v>368</v>
      </c>
      <c r="CN60" s="2">
        <v>3.9600000000000003E-2</v>
      </c>
      <c r="CO60" s="2">
        <v>4.8099999999999996</v>
      </c>
      <c r="CP60" s="2">
        <v>1</v>
      </c>
      <c r="CQ60" s="2" t="s">
        <v>137</v>
      </c>
      <c r="CR60" s="2">
        <v>0.12</v>
      </c>
      <c r="CS60" s="2">
        <v>0</v>
      </c>
      <c r="CT60" s="2">
        <v>0.12</v>
      </c>
      <c r="CU60" s="2">
        <v>0.12</v>
      </c>
      <c r="CV60" s="2">
        <v>1</v>
      </c>
      <c r="CW60" s="2">
        <v>-0.18859999999999999</v>
      </c>
      <c r="CX60" s="2" t="s">
        <v>137</v>
      </c>
      <c r="CY60" s="2">
        <v>30.62</v>
      </c>
      <c r="CZ60" s="2">
        <v>23.56</v>
      </c>
      <c r="DA60" s="2" t="s">
        <v>201</v>
      </c>
      <c r="DB60" s="2">
        <v>0</v>
      </c>
      <c r="DC60" s="2">
        <v>0</v>
      </c>
      <c r="DD60" s="2">
        <v>3.5</v>
      </c>
      <c r="DE60" s="2">
        <v>0</v>
      </c>
      <c r="DF60" s="2">
        <v>0</v>
      </c>
      <c r="DG60" s="2">
        <v>15722000</v>
      </c>
      <c r="DH60" s="2">
        <v>6.44</v>
      </c>
      <c r="DI60" s="2">
        <v>10.97</v>
      </c>
      <c r="DJ60" s="2">
        <v>24408000</v>
      </c>
      <c r="DK60" s="2">
        <v>-8686000</v>
      </c>
      <c r="DL60" s="2">
        <v>964000</v>
      </c>
      <c r="DM60" s="2">
        <v>24531000</v>
      </c>
      <c r="DN60" s="2">
        <v>-23567000</v>
      </c>
      <c r="DO60" s="2">
        <v>0.04</v>
      </c>
      <c r="DP60" s="2">
        <v>2.5</v>
      </c>
      <c r="DQ60" s="2">
        <v>1.91</v>
      </c>
      <c r="DR60" s="2">
        <v>1.73</v>
      </c>
      <c r="DS60" s="2">
        <v>30.62</v>
      </c>
      <c r="DT60" s="2">
        <v>23.56</v>
      </c>
      <c r="DU60" s="2">
        <v>1.73</v>
      </c>
      <c r="DV60" s="2">
        <v>11.04</v>
      </c>
      <c r="DW60" s="2">
        <v>15.52</v>
      </c>
      <c r="DX60" s="2">
        <v>0</v>
      </c>
      <c r="DY60" s="2">
        <v>0</v>
      </c>
      <c r="DZ60" s="2">
        <v>35</v>
      </c>
      <c r="EA60" s="2">
        <v>20</v>
      </c>
      <c r="EB60" s="2">
        <v>1</v>
      </c>
      <c r="EC60" s="2">
        <v>55</v>
      </c>
      <c r="ED60" s="2">
        <v>0</v>
      </c>
    </row>
    <row r="61" spans="1:134" hidden="1" x14ac:dyDescent="0.2">
      <c r="A61" s="2" t="s">
        <v>166</v>
      </c>
      <c r="B61" s="2" t="s">
        <v>167</v>
      </c>
      <c r="C61" s="2" t="s">
        <v>144</v>
      </c>
      <c r="D61" s="2" t="s">
        <v>145</v>
      </c>
      <c r="E61" s="2">
        <v>1964332928</v>
      </c>
      <c r="F61" s="2">
        <v>38.200000000000003</v>
      </c>
      <c r="G61" s="2">
        <v>38.1</v>
      </c>
      <c r="H61" s="2">
        <v>37.869999999999997</v>
      </c>
      <c r="I61" s="2">
        <v>38.06</v>
      </c>
      <c r="J61" s="2">
        <v>38.06</v>
      </c>
      <c r="K61" s="2">
        <v>38.03</v>
      </c>
      <c r="L61" s="2">
        <v>38.450000000000003</v>
      </c>
      <c r="M61" s="2">
        <v>37.979999999999997</v>
      </c>
      <c r="N61" s="2">
        <v>38.21</v>
      </c>
      <c r="O61" s="2">
        <v>39.6</v>
      </c>
      <c r="P61" s="2">
        <v>1.49</v>
      </c>
      <c r="Q61" s="2">
        <v>37.020000000000003</v>
      </c>
      <c r="R61" s="2">
        <v>43.47</v>
      </c>
      <c r="S61" s="2">
        <v>39.590000000000003</v>
      </c>
      <c r="T61" s="2">
        <v>0</v>
      </c>
      <c r="U61" s="2">
        <v>40</v>
      </c>
      <c r="V61" s="2">
        <v>37.770000000000003</v>
      </c>
      <c r="W61" s="2">
        <v>37.39</v>
      </c>
      <c r="X61" s="2">
        <v>36.74</v>
      </c>
      <c r="Y61" s="2">
        <v>39.96</v>
      </c>
      <c r="Z61" s="2">
        <v>40.950000000000003</v>
      </c>
      <c r="AA61" s="2">
        <v>49.98</v>
      </c>
      <c r="AB61" s="2">
        <v>305000</v>
      </c>
      <c r="AC61" s="2">
        <v>196900</v>
      </c>
      <c r="AD61" s="2">
        <v>264200</v>
      </c>
      <c r="AE61" s="2">
        <v>191700</v>
      </c>
      <c r="AF61" s="2">
        <v>321300</v>
      </c>
      <c r="AG61" s="2">
        <f>AVERAGE(AB61:AF61)</f>
        <v>255820</v>
      </c>
      <c r="AH61" s="2">
        <v>0</v>
      </c>
      <c r="AI61" s="2">
        <v>1</v>
      </c>
      <c r="AJ61" s="2">
        <v>0</v>
      </c>
      <c r="AK61" s="2">
        <v>0</v>
      </c>
      <c r="AL61" s="2">
        <v>1</v>
      </c>
      <c r="AM61" s="2">
        <v>0</v>
      </c>
      <c r="AN61" s="2">
        <v>0</v>
      </c>
      <c r="AO61" s="2">
        <v>0</v>
      </c>
      <c r="AP61" s="2">
        <v>0</v>
      </c>
      <c r="AQ61" s="2">
        <v>1</v>
      </c>
      <c r="AR61" s="2">
        <v>0</v>
      </c>
      <c r="AS61" s="2">
        <v>18.16</v>
      </c>
      <c r="AT61" s="2">
        <v>49.81</v>
      </c>
      <c r="AU61" s="2">
        <v>67.7</v>
      </c>
      <c r="AV61" s="2">
        <v>32.299999999999997</v>
      </c>
      <c r="AW61" s="2">
        <v>0</v>
      </c>
      <c r="AX61" s="2">
        <v>0</v>
      </c>
      <c r="AY61" s="2">
        <v>47.6</v>
      </c>
      <c r="AZ61" s="2">
        <v>47.4</v>
      </c>
      <c r="BA61" s="2">
        <v>47.3</v>
      </c>
      <c r="BB61" s="2">
        <v>47</v>
      </c>
      <c r="BC61" s="2">
        <v>55.7</v>
      </c>
      <c r="BD61" s="2">
        <v>0</v>
      </c>
      <c r="BE61" s="2">
        <v>55.8</v>
      </c>
      <c r="BF61" s="2">
        <v>41.1</v>
      </c>
      <c r="BG61" s="2">
        <v>0</v>
      </c>
      <c r="BH61" s="2">
        <v>0</v>
      </c>
      <c r="BI61" s="2">
        <v>11.1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 t="s">
        <v>137</v>
      </c>
      <c r="BV61" s="2">
        <v>51.5</v>
      </c>
      <c r="BW61" s="2">
        <v>65</v>
      </c>
      <c r="BX61" s="2">
        <v>41</v>
      </c>
      <c r="BY61" s="2">
        <v>2</v>
      </c>
      <c r="BZ61" s="2">
        <v>7</v>
      </c>
      <c r="CA61" s="2">
        <v>1</v>
      </c>
      <c r="CB61" s="2">
        <v>0</v>
      </c>
      <c r="CC61" s="2">
        <v>0</v>
      </c>
      <c r="CD61" s="2">
        <v>10</v>
      </c>
      <c r="CE61" s="2">
        <v>9</v>
      </c>
      <c r="CF61" s="2">
        <v>1</v>
      </c>
      <c r="CG61" s="2">
        <v>0</v>
      </c>
      <c r="CH61" s="2" t="s">
        <v>152</v>
      </c>
      <c r="CI61" s="2">
        <v>30.1</v>
      </c>
      <c r="CJ61" s="2" t="s">
        <v>139</v>
      </c>
      <c r="CK61" s="2">
        <v>1</v>
      </c>
      <c r="CL61" s="2">
        <v>51.5</v>
      </c>
      <c r="CM61" s="2" t="s">
        <v>168</v>
      </c>
      <c r="CN61" s="2">
        <v>0.126</v>
      </c>
      <c r="CO61" s="2">
        <v>7.12</v>
      </c>
      <c r="CP61" s="2">
        <v>2</v>
      </c>
      <c r="CQ61" s="2" t="s">
        <v>137</v>
      </c>
      <c r="CR61" s="2">
        <v>0.86</v>
      </c>
      <c r="CS61" s="2">
        <v>0.79</v>
      </c>
      <c r="CT61" s="2">
        <v>6.9999999999999951E-2</v>
      </c>
      <c r="CU61" s="2">
        <v>0.86</v>
      </c>
      <c r="CV61" s="2">
        <v>2</v>
      </c>
      <c r="CW61" s="2">
        <v>0.27410000000000001</v>
      </c>
      <c r="CX61" s="2">
        <v>0.43230000000000002</v>
      </c>
      <c r="CY61" s="2">
        <v>48.29</v>
      </c>
      <c r="CZ61" s="2">
        <v>11.19</v>
      </c>
      <c r="DA61" s="2" t="s">
        <v>148</v>
      </c>
      <c r="DB61" s="2">
        <v>0</v>
      </c>
      <c r="DC61" s="2">
        <v>1</v>
      </c>
      <c r="DD61" s="2">
        <v>0.5</v>
      </c>
      <c r="DE61" s="2">
        <v>0</v>
      </c>
      <c r="DF61" s="2">
        <v>0</v>
      </c>
      <c r="DG61" s="2">
        <v>104491000</v>
      </c>
      <c r="DH61" s="2">
        <v>5.32</v>
      </c>
      <c r="DI61" s="2">
        <v>2.72</v>
      </c>
      <c r="DJ61" s="2">
        <v>114597000</v>
      </c>
      <c r="DK61" s="2">
        <v>-10106000</v>
      </c>
      <c r="DL61" s="2">
        <v>400792000</v>
      </c>
      <c r="DM61" s="2">
        <v>979411008</v>
      </c>
      <c r="DN61" s="2">
        <v>-578619008</v>
      </c>
      <c r="DO61" s="2">
        <v>0.41</v>
      </c>
      <c r="DP61" s="2">
        <v>1.23</v>
      </c>
      <c r="DQ61" s="2">
        <v>1.19</v>
      </c>
      <c r="DR61" s="2" t="s">
        <v>137</v>
      </c>
      <c r="DS61" s="2">
        <v>48.29</v>
      </c>
      <c r="DT61" s="2">
        <v>11.19</v>
      </c>
      <c r="DU61" s="2" t="s">
        <v>137</v>
      </c>
      <c r="DV61" s="2">
        <v>13.57</v>
      </c>
      <c r="DW61" s="2">
        <v>18.8</v>
      </c>
      <c r="DX61" s="2">
        <v>0</v>
      </c>
      <c r="DY61" s="2">
        <v>0</v>
      </c>
      <c r="DZ61" s="2">
        <v>42</v>
      </c>
      <c r="EA61" s="2">
        <v>20</v>
      </c>
      <c r="EB61" s="2">
        <v>2</v>
      </c>
      <c r="EC61" s="2">
        <v>62</v>
      </c>
      <c r="ED61" s="2">
        <v>0</v>
      </c>
    </row>
    <row r="62" spans="1:134" hidden="1" x14ac:dyDescent="0.2">
      <c r="A62" s="2" t="s">
        <v>474</v>
      </c>
      <c r="B62" s="2" t="s">
        <v>475</v>
      </c>
      <c r="C62" s="2" t="s">
        <v>309</v>
      </c>
      <c r="D62" s="2" t="s">
        <v>476</v>
      </c>
      <c r="E62" s="2">
        <v>1119890048</v>
      </c>
      <c r="F62" s="2">
        <v>31.75</v>
      </c>
      <c r="G62" s="2">
        <v>31.88</v>
      </c>
      <c r="H62" s="2">
        <v>31.71</v>
      </c>
      <c r="I62" s="2">
        <v>30.75</v>
      </c>
      <c r="J62" s="2">
        <v>30.51</v>
      </c>
      <c r="K62" s="2">
        <v>30.19</v>
      </c>
      <c r="L62" s="2">
        <v>30.5</v>
      </c>
      <c r="M62" s="2">
        <v>30.01</v>
      </c>
      <c r="N62" s="2">
        <v>29.66</v>
      </c>
      <c r="O62" s="2">
        <v>29.77</v>
      </c>
      <c r="P62" s="2">
        <v>1.1100000000000001</v>
      </c>
      <c r="Q62" s="2">
        <v>29.11</v>
      </c>
      <c r="R62" s="2">
        <v>30.76</v>
      </c>
      <c r="S62" s="2">
        <v>29.74</v>
      </c>
      <c r="T62" s="2">
        <v>-0.1</v>
      </c>
      <c r="U62" s="2">
        <v>32.22</v>
      </c>
      <c r="V62" s="2">
        <v>29.67</v>
      </c>
      <c r="W62" s="2">
        <v>22.04</v>
      </c>
      <c r="X62" s="2">
        <v>21.72</v>
      </c>
      <c r="Y62" s="2">
        <v>31.52</v>
      </c>
      <c r="Z62" s="2">
        <v>32.450000000000003</v>
      </c>
      <c r="AA62" s="2">
        <v>33.89</v>
      </c>
      <c r="AB62" s="2">
        <v>348500</v>
      </c>
      <c r="AC62" s="2">
        <v>313000</v>
      </c>
      <c r="AD62" s="2">
        <v>260700</v>
      </c>
      <c r="AE62" s="2">
        <v>208000</v>
      </c>
      <c r="AF62" s="2">
        <v>252200</v>
      </c>
      <c r="AG62" s="2">
        <f>AVERAGE(AB62:AF62)</f>
        <v>276480</v>
      </c>
      <c r="AH62" s="2">
        <v>1</v>
      </c>
      <c r="AI62" s="2">
        <v>0</v>
      </c>
      <c r="AJ62" s="2">
        <v>0</v>
      </c>
      <c r="AK62" s="2">
        <v>0</v>
      </c>
      <c r="AL62" s="2">
        <v>1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15.76</v>
      </c>
      <c r="AT62" s="2">
        <v>36.74</v>
      </c>
      <c r="AU62" s="2">
        <v>66.8</v>
      </c>
      <c r="AV62" s="2">
        <v>33.200000000000003</v>
      </c>
      <c r="AW62" s="2">
        <v>0</v>
      </c>
      <c r="AX62" s="2">
        <v>0</v>
      </c>
      <c r="AY62" s="2">
        <v>46.6</v>
      </c>
      <c r="AZ62" s="2">
        <v>40</v>
      </c>
      <c r="BA62" s="2">
        <v>37.200000000000003</v>
      </c>
      <c r="BB62" s="2">
        <v>36.4</v>
      </c>
      <c r="BC62" s="2">
        <v>35.200000000000003</v>
      </c>
      <c r="BD62" s="2">
        <v>0</v>
      </c>
      <c r="BE62" s="2">
        <v>0</v>
      </c>
      <c r="BF62" s="2">
        <v>7.2</v>
      </c>
      <c r="BG62" s="2">
        <v>0</v>
      </c>
      <c r="BH62" s="2">
        <v>0</v>
      </c>
      <c r="BI62" s="2">
        <v>21.9</v>
      </c>
      <c r="BJ62" s="2">
        <v>0</v>
      </c>
      <c r="BK62" s="2">
        <v>1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 t="s">
        <v>137</v>
      </c>
      <c r="BV62" s="2">
        <v>37</v>
      </c>
      <c r="BW62" s="2">
        <v>37</v>
      </c>
      <c r="BX62" s="2">
        <v>37</v>
      </c>
      <c r="BY62" s="2">
        <v>0</v>
      </c>
      <c r="BZ62" s="2">
        <v>1</v>
      </c>
      <c r="CA62" s="2">
        <v>0</v>
      </c>
      <c r="CB62" s="2">
        <v>0</v>
      </c>
      <c r="CC62" s="2">
        <v>0</v>
      </c>
      <c r="CD62" s="2">
        <v>1</v>
      </c>
      <c r="CE62" s="2">
        <v>1</v>
      </c>
      <c r="CF62" s="2">
        <v>0</v>
      </c>
      <c r="CG62" s="2">
        <v>0</v>
      </c>
      <c r="CH62" s="2" t="s">
        <v>152</v>
      </c>
      <c r="CI62" s="2">
        <v>24.3</v>
      </c>
      <c r="CJ62" s="2" t="s">
        <v>139</v>
      </c>
      <c r="CK62" s="2">
        <v>1</v>
      </c>
      <c r="CL62" s="2">
        <v>37</v>
      </c>
      <c r="CM62" s="2" t="s">
        <v>477</v>
      </c>
      <c r="CN62" s="2">
        <v>3.8199999999999998E-2</v>
      </c>
      <c r="CO62" s="2">
        <v>3.21</v>
      </c>
      <c r="CP62" s="2">
        <v>1</v>
      </c>
      <c r="CQ62" s="2" t="s">
        <v>137</v>
      </c>
      <c r="CR62" s="2">
        <v>0.45</v>
      </c>
      <c r="CS62" s="2">
        <v>0.42</v>
      </c>
      <c r="CT62" s="2">
        <v>3.000000000000003E-2</v>
      </c>
      <c r="CU62" s="2">
        <v>0.45</v>
      </c>
      <c r="CV62" s="2">
        <v>1</v>
      </c>
      <c r="CW62" s="2">
        <v>0.73080003000000004</v>
      </c>
      <c r="CX62" s="2">
        <v>0.69089997000000003</v>
      </c>
      <c r="CY62" s="2">
        <v>22.22</v>
      </c>
      <c r="CZ62" s="2">
        <v>14.88</v>
      </c>
      <c r="DA62" s="2" t="s">
        <v>148</v>
      </c>
      <c r="DB62" s="2">
        <v>0</v>
      </c>
      <c r="DC62" s="2">
        <v>0</v>
      </c>
      <c r="DD62" s="2">
        <v>1</v>
      </c>
      <c r="DE62" s="2">
        <v>0</v>
      </c>
      <c r="DF62" s="2">
        <v>0</v>
      </c>
      <c r="DG62" s="2">
        <v>67208000</v>
      </c>
      <c r="DH62" s="2">
        <v>6</v>
      </c>
      <c r="DI62" s="2">
        <v>7.96</v>
      </c>
      <c r="DJ62" s="2">
        <v>86761000</v>
      </c>
      <c r="DK62" s="2">
        <v>-19553000</v>
      </c>
      <c r="DL62" s="2">
        <v>47635000</v>
      </c>
      <c r="DM62" s="2">
        <v>341216000</v>
      </c>
      <c r="DN62" s="2">
        <v>-293581000</v>
      </c>
      <c r="DO62" s="2">
        <v>0.14000000000000001</v>
      </c>
      <c r="DP62" s="2">
        <v>1.61</v>
      </c>
      <c r="DQ62" s="2">
        <v>0.84</v>
      </c>
      <c r="DR62" s="2">
        <v>4.62</v>
      </c>
      <c r="DS62" s="2">
        <v>22.22</v>
      </c>
      <c r="DT62" s="2">
        <v>14.88</v>
      </c>
      <c r="DU62" s="2">
        <v>4.62</v>
      </c>
      <c r="DV62" s="2">
        <v>9.8699999999999992</v>
      </c>
      <c r="DW62" s="2">
        <v>16.66</v>
      </c>
      <c r="DX62" s="2">
        <v>6.62</v>
      </c>
      <c r="DY62" s="2">
        <v>0</v>
      </c>
      <c r="DZ62" s="2">
        <v>42</v>
      </c>
      <c r="EA62" s="2">
        <v>20</v>
      </c>
      <c r="EB62" s="2">
        <v>2</v>
      </c>
      <c r="EC62" s="2">
        <v>62</v>
      </c>
      <c r="ED62" s="2">
        <v>1</v>
      </c>
    </row>
    <row r="63" spans="1:134" hidden="1" x14ac:dyDescent="0.2">
      <c r="A63" t="s">
        <v>376</v>
      </c>
      <c r="B63" t="s">
        <v>377</v>
      </c>
      <c r="C63" t="s">
        <v>135</v>
      </c>
      <c r="D63" t="s">
        <v>163</v>
      </c>
      <c r="E63">
        <v>424332384</v>
      </c>
      <c r="F63">
        <v>31.01</v>
      </c>
      <c r="G63">
        <v>30.64</v>
      </c>
      <c r="H63">
        <v>30.52</v>
      </c>
      <c r="I63">
        <v>30.5</v>
      </c>
      <c r="J63">
        <v>30.39</v>
      </c>
      <c r="K63">
        <v>30.67</v>
      </c>
      <c r="L63">
        <v>30.93</v>
      </c>
      <c r="M63">
        <v>30.87</v>
      </c>
      <c r="N63">
        <v>30.9</v>
      </c>
      <c r="O63">
        <v>30.8</v>
      </c>
      <c r="P63">
        <v>0.55000000000000004</v>
      </c>
      <c r="Q63">
        <v>29.97</v>
      </c>
      <c r="R63">
        <v>32.04</v>
      </c>
      <c r="S63">
        <v>30.78</v>
      </c>
      <c r="T63">
        <v>-0.1</v>
      </c>
      <c r="U63">
        <v>30.1</v>
      </c>
      <c r="V63">
        <v>30.24</v>
      </c>
      <c r="W63">
        <v>29.6</v>
      </c>
      <c r="X63">
        <v>29.16</v>
      </c>
      <c r="Y63">
        <v>31.25</v>
      </c>
      <c r="Z63" t="s">
        <v>137</v>
      </c>
      <c r="AA63" t="s">
        <v>137</v>
      </c>
      <c r="AB63">
        <v>45100</v>
      </c>
      <c r="AC63">
        <v>78400</v>
      </c>
      <c r="AD63">
        <v>122400</v>
      </c>
      <c r="AE63">
        <v>151400</v>
      </c>
      <c r="AF63">
        <v>79600</v>
      </c>
      <c r="AG63" s="2">
        <f>AVERAGE(AB63:AF63)</f>
        <v>95380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1</v>
      </c>
      <c r="AS63">
        <v>21.52</v>
      </c>
      <c r="AT63">
        <v>31.1</v>
      </c>
      <c r="AU63">
        <v>96.9</v>
      </c>
      <c r="AV63">
        <v>3.1</v>
      </c>
      <c r="AW63">
        <v>0</v>
      </c>
      <c r="AX63">
        <v>0</v>
      </c>
      <c r="AY63">
        <v>54.6</v>
      </c>
      <c r="AZ63">
        <v>52.7</v>
      </c>
      <c r="BA63">
        <v>54.8</v>
      </c>
      <c r="BB63">
        <v>57.3</v>
      </c>
      <c r="BC63">
        <v>56.1</v>
      </c>
      <c r="BD63">
        <v>0</v>
      </c>
      <c r="BE63">
        <v>68.8</v>
      </c>
      <c r="BF63">
        <v>63</v>
      </c>
      <c r="BG63">
        <v>0</v>
      </c>
      <c r="BH63">
        <v>0</v>
      </c>
      <c r="BI63">
        <v>10.6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 t="s">
        <v>137</v>
      </c>
      <c r="BV63">
        <v>34.25</v>
      </c>
      <c r="BW63">
        <v>35.25</v>
      </c>
      <c r="BX63">
        <v>32.5</v>
      </c>
      <c r="BY63">
        <v>0</v>
      </c>
      <c r="BZ63">
        <v>2</v>
      </c>
      <c r="CA63">
        <v>1</v>
      </c>
      <c r="CB63">
        <v>0</v>
      </c>
      <c r="CC63">
        <v>0</v>
      </c>
      <c r="CD63">
        <v>3</v>
      </c>
      <c r="CE63">
        <v>2</v>
      </c>
      <c r="CF63">
        <v>1</v>
      </c>
      <c r="CG63">
        <v>0</v>
      </c>
      <c r="CH63" t="s">
        <v>152</v>
      </c>
      <c r="CI63">
        <v>11.2</v>
      </c>
      <c r="CJ63" t="s">
        <v>139</v>
      </c>
      <c r="CK63">
        <v>1</v>
      </c>
      <c r="CL63">
        <v>34.25</v>
      </c>
      <c r="CM63" t="s">
        <v>378</v>
      </c>
      <c r="CN63">
        <v>2.41E-2</v>
      </c>
      <c r="CO63">
        <v>2.75</v>
      </c>
      <c r="CP63">
        <v>2</v>
      </c>
      <c r="CQ63" t="s">
        <v>137</v>
      </c>
      <c r="CR63">
        <v>0.76</v>
      </c>
      <c r="CS63">
        <v>0.75</v>
      </c>
      <c r="CT63">
        <v>1.0000000000000011E-2</v>
      </c>
      <c r="CU63">
        <v>0.76</v>
      </c>
      <c r="CV63">
        <v>3</v>
      </c>
      <c r="CW63">
        <v>0.40739999999999998</v>
      </c>
      <c r="CX63">
        <v>0.41699999999999998</v>
      </c>
      <c r="CY63">
        <v>12.73</v>
      </c>
      <c r="CZ63">
        <v>9.34</v>
      </c>
      <c r="DA63" t="s">
        <v>257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16833000</v>
      </c>
      <c r="DH63">
        <v>3.97</v>
      </c>
      <c r="DI63">
        <v>13.85</v>
      </c>
      <c r="DJ63">
        <v>18216000</v>
      </c>
      <c r="DK63">
        <v>-1383000</v>
      </c>
      <c r="DL63">
        <v>83831000</v>
      </c>
      <c r="DM63">
        <v>208556000</v>
      </c>
      <c r="DN63">
        <v>-124725000</v>
      </c>
      <c r="DO63">
        <v>0.4</v>
      </c>
      <c r="DP63" t="s">
        <v>137</v>
      </c>
      <c r="DQ63" t="s">
        <v>137</v>
      </c>
      <c r="DR63" t="s">
        <v>137</v>
      </c>
      <c r="DS63">
        <v>12.73</v>
      </c>
      <c r="DT63">
        <v>9.34</v>
      </c>
      <c r="DU63" t="s">
        <v>137</v>
      </c>
      <c r="DV63" t="s">
        <v>137</v>
      </c>
      <c r="DW63">
        <v>25.21</v>
      </c>
      <c r="DX63">
        <v>0.23</v>
      </c>
      <c r="DY63">
        <v>0</v>
      </c>
      <c r="DZ63">
        <v>36</v>
      </c>
      <c r="EA63">
        <v>10</v>
      </c>
      <c r="EB63">
        <v>1</v>
      </c>
      <c r="EC63">
        <v>46</v>
      </c>
      <c r="ED63">
        <v>0</v>
      </c>
    </row>
    <row r="64" spans="1:134" hidden="1" x14ac:dyDescent="0.2">
      <c r="A64" s="2" t="s">
        <v>379</v>
      </c>
      <c r="B64" s="2" t="s">
        <v>380</v>
      </c>
      <c r="C64" s="2" t="s">
        <v>309</v>
      </c>
      <c r="D64" s="2" t="s">
        <v>381</v>
      </c>
      <c r="E64" s="2">
        <v>278457152</v>
      </c>
      <c r="F64" s="2">
        <v>24.55</v>
      </c>
      <c r="G64" s="2">
        <v>24.44</v>
      </c>
      <c r="H64" s="2">
        <v>24.4</v>
      </c>
      <c r="I64" s="2">
        <v>23.85</v>
      </c>
      <c r="J64" s="2">
        <v>23.73</v>
      </c>
      <c r="K64" s="2">
        <v>23.79</v>
      </c>
      <c r="L64" s="2">
        <v>23.97</v>
      </c>
      <c r="M64" s="2">
        <v>24.17</v>
      </c>
      <c r="N64" s="2">
        <v>24.12</v>
      </c>
      <c r="O64" s="2">
        <v>24.33</v>
      </c>
      <c r="P64" s="2">
        <v>0.77</v>
      </c>
      <c r="Q64" s="2">
        <v>23.2</v>
      </c>
      <c r="R64" s="2">
        <v>26.02</v>
      </c>
      <c r="S64" s="2">
        <v>24.3</v>
      </c>
      <c r="T64" s="2">
        <v>-0.1</v>
      </c>
      <c r="U64" s="2">
        <v>24.76</v>
      </c>
      <c r="V64" s="2">
        <v>23.58</v>
      </c>
      <c r="W64" s="2">
        <v>21.63</v>
      </c>
      <c r="X64" s="2">
        <v>21.36</v>
      </c>
      <c r="Y64" s="2">
        <v>25.25</v>
      </c>
      <c r="Z64" s="2">
        <v>25.76</v>
      </c>
      <c r="AA64" s="2">
        <v>26.04</v>
      </c>
      <c r="AB64" s="2">
        <v>54300</v>
      </c>
      <c r="AC64" s="2">
        <v>62400</v>
      </c>
      <c r="AD64" s="2">
        <v>51800</v>
      </c>
      <c r="AE64" s="2">
        <v>32200</v>
      </c>
      <c r="AF64" s="2">
        <v>42800</v>
      </c>
      <c r="AG64" s="2">
        <f>AVERAGE(AB64:AF64)</f>
        <v>48700</v>
      </c>
      <c r="AH64" s="2">
        <v>0</v>
      </c>
      <c r="AI64" s="2">
        <v>0</v>
      </c>
      <c r="AJ64" s="2">
        <v>1</v>
      </c>
      <c r="AK64" s="2">
        <v>1</v>
      </c>
      <c r="AL64" s="2">
        <v>1</v>
      </c>
      <c r="AM64" s="2">
        <v>0</v>
      </c>
      <c r="AN64" s="2">
        <v>0</v>
      </c>
      <c r="AO64" s="2">
        <v>0</v>
      </c>
      <c r="AP64" s="2">
        <v>1</v>
      </c>
      <c r="AQ64" s="2">
        <v>0</v>
      </c>
      <c r="AR64" s="2">
        <v>0</v>
      </c>
      <c r="AS64" s="2">
        <v>15.01</v>
      </c>
      <c r="AT64" s="2">
        <v>26.63</v>
      </c>
      <c r="AU64" s="2">
        <v>80.2</v>
      </c>
      <c r="AV64" s="2">
        <v>19.8</v>
      </c>
      <c r="AW64" s="2">
        <v>0</v>
      </c>
      <c r="AX64" s="2">
        <v>1</v>
      </c>
      <c r="AY64" s="2">
        <v>42.9</v>
      </c>
      <c r="AZ64" s="2">
        <v>37.299999999999997</v>
      </c>
      <c r="BA64" s="2">
        <v>36.799999999999997</v>
      </c>
      <c r="BB64" s="2">
        <v>42.3</v>
      </c>
      <c r="BC64" s="2">
        <v>44.5</v>
      </c>
      <c r="BD64" s="2">
        <v>1</v>
      </c>
      <c r="BE64" s="2">
        <v>17.2</v>
      </c>
      <c r="BF64" s="2">
        <v>11.2</v>
      </c>
      <c r="BG64" s="2">
        <v>0</v>
      </c>
      <c r="BH64" s="2">
        <v>0</v>
      </c>
      <c r="BI64" s="2">
        <v>18.2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 t="s">
        <v>137</v>
      </c>
      <c r="BV64" s="2">
        <v>28.5</v>
      </c>
      <c r="BW64" s="2">
        <v>30</v>
      </c>
      <c r="BX64" s="2">
        <v>27</v>
      </c>
      <c r="BY64" s="2">
        <v>1</v>
      </c>
      <c r="BZ64" s="2">
        <v>1</v>
      </c>
      <c r="CA64" s="2">
        <v>0</v>
      </c>
      <c r="CB64" s="2">
        <v>0</v>
      </c>
      <c r="CC64" s="2">
        <v>0</v>
      </c>
      <c r="CD64" s="2">
        <v>2</v>
      </c>
      <c r="CE64" s="2">
        <v>2</v>
      </c>
      <c r="CF64" s="2">
        <v>0</v>
      </c>
      <c r="CG64" s="2">
        <v>0</v>
      </c>
      <c r="CH64" s="2" t="s">
        <v>152</v>
      </c>
      <c r="CI64" s="2">
        <v>17.100000000000001</v>
      </c>
      <c r="CJ64" s="2" t="s">
        <v>139</v>
      </c>
      <c r="CK64" s="2">
        <v>0</v>
      </c>
      <c r="CL64" s="2">
        <v>28.5</v>
      </c>
      <c r="CM64" s="2" t="s">
        <v>382</v>
      </c>
      <c r="CN64" s="2">
        <v>4.02E-2</v>
      </c>
      <c r="CO64" s="2">
        <v>3.72</v>
      </c>
      <c r="CP64" s="2">
        <v>0</v>
      </c>
      <c r="CQ64" s="2" t="s">
        <v>137</v>
      </c>
      <c r="CR64" s="2">
        <v>2.335</v>
      </c>
      <c r="CS64" s="2">
        <v>2.65</v>
      </c>
      <c r="CT64" s="2">
        <v>-0.31499999999999989</v>
      </c>
      <c r="CU64" s="2">
        <v>2.335</v>
      </c>
      <c r="CV64" s="2">
        <v>2</v>
      </c>
      <c r="CW64" s="2">
        <v>0.29720000000000002</v>
      </c>
      <c r="CX64" s="2">
        <v>0.22839999999999999</v>
      </c>
      <c r="CY64" s="2">
        <v>17.260000000000002</v>
      </c>
      <c r="CZ64" s="2">
        <v>7.45</v>
      </c>
      <c r="DA64" s="2" t="s">
        <v>165</v>
      </c>
      <c r="DB64" s="2">
        <v>1</v>
      </c>
      <c r="DC64" s="2">
        <v>0</v>
      </c>
      <c r="DD64" s="2">
        <v>1</v>
      </c>
      <c r="DE64" s="2">
        <v>0</v>
      </c>
      <c r="DF64" s="2">
        <v>0</v>
      </c>
      <c r="DG64" s="2">
        <v>-1071000</v>
      </c>
      <c r="DH64" s="2">
        <v>-0.38</v>
      </c>
      <c r="DI64" s="2">
        <v>-0.18</v>
      </c>
      <c r="DJ64" s="2">
        <v>8492000</v>
      </c>
      <c r="DK64" s="2">
        <v>-9563000</v>
      </c>
      <c r="DL64" s="2">
        <v>59513000</v>
      </c>
      <c r="DM64" s="2">
        <v>46624000</v>
      </c>
      <c r="DN64" s="2">
        <v>12889000</v>
      </c>
      <c r="DO64" s="2">
        <v>1.28</v>
      </c>
      <c r="DP64" s="2">
        <v>1.72</v>
      </c>
      <c r="DQ64" s="2">
        <v>1.25</v>
      </c>
      <c r="DR64" s="2">
        <v>1.59</v>
      </c>
      <c r="DS64" s="2">
        <v>17.260000000000002</v>
      </c>
      <c r="DT64" s="2">
        <v>7.45</v>
      </c>
      <c r="DU64" s="2">
        <v>1.59</v>
      </c>
      <c r="DV64" s="2">
        <v>9.9700000000000006</v>
      </c>
      <c r="DW64" s="2" t="s">
        <v>137</v>
      </c>
      <c r="DX64" s="2">
        <v>0.45</v>
      </c>
      <c r="DY64" s="2">
        <v>0</v>
      </c>
      <c r="DZ64" s="2">
        <v>21</v>
      </c>
      <c r="EA64" s="2">
        <v>25</v>
      </c>
      <c r="EB64" s="2">
        <v>2</v>
      </c>
      <c r="EC64" s="2">
        <v>46</v>
      </c>
      <c r="ED64" s="2">
        <v>0</v>
      </c>
    </row>
    <row r="65" spans="1:134" hidden="1" x14ac:dyDescent="0.2">
      <c r="A65" t="s">
        <v>525</v>
      </c>
      <c r="B65" t="s">
        <v>526</v>
      </c>
      <c r="C65" t="s">
        <v>241</v>
      </c>
      <c r="D65" t="s">
        <v>242</v>
      </c>
      <c r="E65">
        <v>724409472</v>
      </c>
      <c r="F65">
        <v>13.51</v>
      </c>
      <c r="G65">
        <v>12.88</v>
      </c>
      <c r="H65">
        <v>12.75</v>
      </c>
      <c r="I65">
        <v>13.03</v>
      </c>
      <c r="J65">
        <v>12.93</v>
      </c>
      <c r="K65">
        <v>13.34</v>
      </c>
      <c r="L65">
        <v>13.37</v>
      </c>
      <c r="M65">
        <v>13.01</v>
      </c>
      <c r="N65">
        <v>13.05</v>
      </c>
      <c r="O65">
        <v>12.83</v>
      </c>
      <c r="P65">
        <v>0.74</v>
      </c>
      <c r="Q65">
        <v>12.35</v>
      </c>
      <c r="R65">
        <v>13.55</v>
      </c>
      <c r="S65">
        <v>12.84</v>
      </c>
      <c r="T65">
        <v>0</v>
      </c>
      <c r="U65">
        <v>11.15</v>
      </c>
      <c r="V65">
        <v>12.72</v>
      </c>
      <c r="W65">
        <v>12.08</v>
      </c>
      <c r="X65">
        <v>9.0299999999999994</v>
      </c>
      <c r="Y65">
        <v>12.89</v>
      </c>
      <c r="Z65">
        <v>13.51</v>
      </c>
      <c r="AA65">
        <v>14.43</v>
      </c>
      <c r="AB65">
        <v>1095400</v>
      </c>
      <c r="AC65">
        <v>767000</v>
      </c>
      <c r="AD65">
        <v>820700</v>
      </c>
      <c r="AE65">
        <v>773800</v>
      </c>
      <c r="AF65">
        <v>553300</v>
      </c>
      <c r="AG65" s="2">
        <f>AVERAGE(AB65:AF65)</f>
        <v>802040</v>
      </c>
      <c r="AH65">
        <v>0</v>
      </c>
      <c r="AI65">
        <v>1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3.18</v>
      </c>
      <c r="AT65">
        <v>14.14</v>
      </c>
      <c r="AU65">
        <v>88</v>
      </c>
      <c r="AV65">
        <v>12</v>
      </c>
      <c r="AW65">
        <v>0</v>
      </c>
      <c r="AX65">
        <v>0</v>
      </c>
      <c r="AY65">
        <v>56.6</v>
      </c>
      <c r="AZ65">
        <v>58.1</v>
      </c>
      <c r="BA65">
        <v>60.9</v>
      </c>
      <c r="BB65">
        <v>56.5</v>
      </c>
      <c r="BC65">
        <v>54.2</v>
      </c>
      <c r="BD65">
        <v>0</v>
      </c>
      <c r="BE65">
        <v>9.9</v>
      </c>
      <c r="BF65">
        <v>12.4</v>
      </c>
      <c r="BG65">
        <v>0</v>
      </c>
      <c r="BH65">
        <v>0</v>
      </c>
      <c r="BI65">
        <v>38.5</v>
      </c>
      <c r="BJ65">
        <v>1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 t="s">
        <v>137</v>
      </c>
      <c r="BV65">
        <v>13.1</v>
      </c>
      <c r="BW65">
        <v>15</v>
      </c>
      <c r="BX65">
        <v>11.5</v>
      </c>
      <c r="BY65">
        <v>2</v>
      </c>
      <c r="BZ65">
        <v>3</v>
      </c>
      <c r="CA65">
        <v>0</v>
      </c>
      <c r="CB65">
        <v>0</v>
      </c>
      <c r="CC65">
        <v>0</v>
      </c>
      <c r="CD65">
        <v>5</v>
      </c>
      <c r="CE65">
        <v>5</v>
      </c>
      <c r="CF65">
        <v>0</v>
      </c>
      <c r="CG65">
        <v>0</v>
      </c>
      <c r="CH65" t="s">
        <v>152</v>
      </c>
      <c r="CI65">
        <v>2.1</v>
      </c>
      <c r="CJ65" t="s">
        <v>139</v>
      </c>
      <c r="CK65">
        <v>1</v>
      </c>
      <c r="CL65">
        <v>13.1</v>
      </c>
      <c r="CM65" t="s">
        <v>527</v>
      </c>
      <c r="CN65">
        <v>3.61E-2</v>
      </c>
      <c r="CO65">
        <v>1.96</v>
      </c>
      <c r="CP65">
        <v>2</v>
      </c>
      <c r="CQ65" t="s">
        <v>137</v>
      </c>
      <c r="CR65">
        <v>0.13</v>
      </c>
      <c r="CS65">
        <v>7.3330000000000006E-2</v>
      </c>
      <c r="CT65">
        <v>5.6669999999999998E-2</v>
      </c>
      <c r="CU65">
        <v>0.13</v>
      </c>
      <c r="CV65">
        <v>2</v>
      </c>
      <c r="CW65">
        <v>2.25</v>
      </c>
      <c r="CX65">
        <v>2.7692000000000001</v>
      </c>
      <c r="CY65">
        <v>49.35</v>
      </c>
      <c r="CZ65">
        <v>21.21</v>
      </c>
      <c r="DA65" t="s">
        <v>154</v>
      </c>
      <c r="DB65">
        <v>0</v>
      </c>
      <c r="DC65">
        <v>0</v>
      </c>
      <c r="DD65">
        <v>0.5</v>
      </c>
      <c r="DE65">
        <v>0</v>
      </c>
      <c r="DF65">
        <v>0</v>
      </c>
      <c r="DG65">
        <v>44356657</v>
      </c>
      <c r="DH65">
        <v>6.12</v>
      </c>
      <c r="DI65">
        <v>44.07</v>
      </c>
      <c r="DJ65">
        <v>52450867</v>
      </c>
      <c r="DK65">
        <v>-8094210</v>
      </c>
      <c r="DL65">
        <v>27372858</v>
      </c>
      <c r="DM65">
        <v>5710297</v>
      </c>
      <c r="DN65">
        <v>21662561</v>
      </c>
      <c r="DO65">
        <v>4.79</v>
      </c>
      <c r="DP65">
        <v>1.1399999999999999</v>
      </c>
      <c r="DQ65">
        <v>0.53</v>
      </c>
      <c r="DR65" t="s">
        <v>137</v>
      </c>
      <c r="DS65">
        <v>49.35</v>
      </c>
      <c r="DT65">
        <v>21.21</v>
      </c>
      <c r="DU65" t="s">
        <v>137</v>
      </c>
      <c r="DV65">
        <v>25.92</v>
      </c>
      <c r="DW65">
        <v>16.329999999999998</v>
      </c>
      <c r="DX65">
        <v>3.82</v>
      </c>
      <c r="DY65">
        <v>0</v>
      </c>
      <c r="DZ65">
        <v>42</v>
      </c>
      <c r="EA65">
        <v>10</v>
      </c>
      <c r="EB65">
        <v>1</v>
      </c>
      <c r="EC65">
        <v>52</v>
      </c>
      <c r="ED65">
        <v>1</v>
      </c>
    </row>
    <row r="66" spans="1:134" hidden="1" x14ac:dyDescent="0.2">
      <c r="A66" s="2" t="s">
        <v>387</v>
      </c>
      <c r="B66" s="2" t="s">
        <v>388</v>
      </c>
      <c r="C66" s="2" t="s">
        <v>135</v>
      </c>
      <c r="D66" s="2" t="s">
        <v>163</v>
      </c>
      <c r="E66" s="2">
        <v>329236096</v>
      </c>
      <c r="F66" s="2">
        <v>22.98</v>
      </c>
      <c r="G66" s="2">
        <v>23.41</v>
      </c>
      <c r="H66" s="2">
        <v>23.43</v>
      </c>
      <c r="I66" s="2">
        <v>22.96</v>
      </c>
      <c r="J66" s="2">
        <v>22.84</v>
      </c>
      <c r="K66" s="2">
        <v>23.19</v>
      </c>
      <c r="L66" s="2">
        <v>23.35</v>
      </c>
      <c r="M66" s="2">
        <v>23.05</v>
      </c>
      <c r="N66" s="2">
        <v>23.21</v>
      </c>
      <c r="O66" s="2">
        <v>23.33</v>
      </c>
      <c r="P66" s="2">
        <v>0.72</v>
      </c>
      <c r="Q66" s="2">
        <v>22.39</v>
      </c>
      <c r="R66" s="2">
        <v>24.74</v>
      </c>
      <c r="S66" s="2">
        <v>23.31</v>
      </c>
      <c r="T66" s="2">
        <v>-0.1</v>
      </c>
      <c r="U66" s="2">
        <v>22.82</v>
      </c>
      <c r="V66" s="2">
        <v>22.75</v>
      </c>
      <c r="W66" s="2">
        <v>22.38</v>
      </c>
      <c r="X66" s="2">
        <v>21.65</v>
      </c>
      <c r="Y66" s="2">
        <v>23.33</v>
      </c>
      <c r="Z66" s="2">
        <v>23.79</v>
      </c>
      <c r="AA66" s="2">
        <v>24.19</v>
      </c>
      <c r="AB66" s="2">
        <v>344400</v>
      </c>
      <c r="AC66" s="2">
        <v>175000</v>
      </c>
      <c r="AD66" s="2">
        <v>71500</v>
      </c>
      <c r="AE66" s="2">
        <v>86000</v>
      </c>
      <c r="AF66" s="2">
        <v>92900</v>
      </c>
      <c r="AG66" s="2">
        <f>AVERAGE(AB66:AF66)</f>
        <v>153960</v>
      </c>
      <c r="AH66" s="2">
        <v>1</v>
      </c>
      <c r="AI66" s="2">
        <v>0</v>
      </c>
      <c r="AJ66" s="2">
        <v>1</v>
      </c>
      <c r="AK66" s="2">
        <v>0</v>
      </c>
      <c r="AL66" s="2">
        <v>1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1</v>
      </c>
      <c r="AS66" s="2">
        <v>18.57</v>
      </c>
      <c r="AT66" s="2">
        <v>23.81</v>
      </c>
      <c r="AU66" s="2">
        <v>90.8</v>
      </c>
      <c r="AV66" s="2">
        <v>9.1999999999999993</v>
      </c>
      <c r="AW66" s="2">
        <v>1</v>
      </c>
      <c r="AX66" s="2">
        <v>0</v>
      </c>
      <c r="AY66" s="2">
        <v>58.4</v>
      </c>
      <c r="AZ66" s="2">
        <v>49.8</v>
      </c>
      <c r="BA66" s="2">
        <v>53.6</v>
      </c>
      <c r="BB66" s="2">
        <v>51.1</v>
      </c>
      <c r="BC66" s="2">
        <v>55.5</v>
      </c>
      <c r="BD66" s="2">
        <v>0</v>
      </c>
      <c r="BE66" s="2">
        <v>65</v>
      </c>
      <c r="BF66" s="2">
        <v>61.8</v>
      </c>
      <c r="BG66" s="2">
        <v>0</v>
      </c>
      <c r="BH66" s="2">
        <v>1</v>
      </c>
      <c r="BI66" s="2">
        <v>10.6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 t="s">
        <v>137</v>
      </c>
      <c r="BV66" s="2">
        <v>25.5</v>
      </c>
      <c r="BW66" s="2">
        <v>26</v>
      </c>
      <c r="BX66" s="2">
        <v>25</v>
      </c>
      <c r="BY66" s="2">
        <v>1</v>
      </c>
      <c r="BZ66" s="2">
        <v>1</v>
      </c>
      <c r="CA66" s="2">
        <v>0</v>
      </c>
      <c r="CB66" s="2">
        <v>0</v>
      </c>
      <c r="CC66" s="2">
        <v>0</v>
      </c>
      <c r="CD66" s="2">
        <v>2</v>
      </c>
      <c r="CE66" s="2">
        <v>2</v>
      </c>
      <c r="CF66" s="2">
        <v>0</v>
      </c>
      <c r="CG66" s="2">
        <v>0</v>
      </c>
      <c r="CH66" s="2" t="s">
        <v>152</v>
      </c>
      <c r="CI66" s="2">
        <v>9.3000000000000007</v>
      </c>
      <c r="CJ66" s="2" t="s">
        <v>139</v>
      </c>
      <c r="CK66" s="2">
        <v>1</v>
      </c>
      <c r="CL66" s="2">
        <v>26</v>
      </c>
      <c r="CM66" s="2" t="s">
        <v>389</v>
      </c>
      <c r="CN66" s="2">
        <v>1.78E-2</v>
      </c>
      <c r="CO66" s="2">
        <v>4.3899999999999997</v>
      </c>
      <c r="CP66" s="2">
        <v>2</v>
      </c>
      <c r="CQ66" s="2" t="s">
        <v>137</v>
      </c>
      <c r="CR66" s="2">
        <v>0.5</v>
      </c>
      <c r="CS66" s="2">
        <v>0.47</v>
      </c>
      <c r="CT66" s="2">
        <v>3.000000000000003E-2</v>
      </c>
      <c r="CU66" s="2">
        <v>0.5</v>
      </c>
      <c r="CV66" s="2">
        <v>2</v>
      </c>
      <c r="CW66" s="2">
        <v>0.31580000000000003</v>
      </c>
      <c r="CX66" s="2">
        <v>0.29530000000000001</v>
      </c>
      <c r="CY66" s="2">
        <v>13.49</v>
      </c>
      <c r="CZ66" s="2">
        <v>9.6199999999999992</v>
      </c>
      <c r="DA66" s="2" t="s">
        <v>160</v>
      </c>
      <c r="DB66" s="2">
        <v>0</v>
      </c>
      <c r="DC66" s="2">
        <v>0</v>
      </c>
      <c r="DD66" s="2">
        <v>1</v>
      </c>
      <c r="DE66" s="2">
        <v>0</v>
      </c>
      <c r="DF66" s="2">
        <v>0</v>
      </c>
      <c r="DG66" s="2">
        <v>22030000</v>
      </c>
      <c r="DH66" s="2">
        <v>6.69</v>
      </c>
      <c r="DI66" s="2">
        <v>32.92</v>
      </c>
      <c r="DJ66" s="2">
        <v>22584000</v>
      </c>
      <c r="DK66" s="2">
        <v>-554000</v>
      </c>
      <c r="DL66" s="2">
        <v>159144000</v>
      </c>
      <c r="DM66" s="2">
        <v>125299000</v>
      </c>
      <c r="DN66" s="2">
        <v>33845000</v>
      </c>
      <c r="DO66" s="2">
        <v>1.27</v>
      </c>
      <c r="DP66" s="2" t="s">
        <v>137</v>
      </c>
      <c r="DQ66" s="2" t="s">
        <v>137</v>
      </c>
      <c r="DR66" s="2" t="s">
        <v>137</v>
      </c>
      <c r="DS66" s="2">
        <v>13.49</v>
      </c>
      <c r="DT66" s="2">
        <v>9.6199999999999992</v>
      </c>
      <c r="DU66" s="2" t="s">
        <v>137</v>
      </c>
      <c r="DV66" s="2" t="s">
        <v>137</v>
      </c>
      <c r="DW66" s="2">
        <v>14.94</v>
      </c>
      <c r="DX66" s="2">
        <v>0.34</v>
      </c>
      <c r="DY66" s="2">
        <v>0</v>
      </c>
      <c r="DZ66" s="2">
        <v>42</v>
      </c>
      <c r="EA66" s="2">
        <v>10</v>
      </c>
      <c r="EB66" s="2">
        <v>1</v>
      </c>
      <c r="EC66" s="2">
        <v>52</v>
      </c>
      <c r="ED66" s="2">
        <v>0</v>
      </c>
    </row>
    <row r="67" spans="1:134" hidden="1" x14ac:dyDescent="0.2">
      <c r="A67" t="s">
        <v>390</v>
      </c>
      <c r="B67" t="s">
        <v>391</v>
      </c>
      <c r="C67" t="s">
        <v>309</v>
      </c>
      <c r="D67" t="s">
        <v>392</v>
      </c>
      <c r="E67">
        <v>65150692</v>
      </c>
      <c r="F67">
        <v>5.47</v>
      </c>
      <c r="G67">
        <v>5.36</v>
      </c>
      <c r="H67">
        <v>5.39</v>
      </c>
      <c r="I67">
        <v>5.35</v>
      </c>
      <c r="J67">
        <v>5.31</v>
      </c>
      <c r="K67">
        <v>5.27</v>
      </c>
      <c r="L67">
        <v>5.24</v>
      </c>
      <c r="M67">
        <v>5.3</v>
      </c>
      <c r="N67">
        <v>5.23</v>
      </c>
      <c r="O67">
        <v>5.13</v>
      </c>
      <c r="P67">
        <v>0.21</v>
      </c>
      <c r="Q67">
        <v>4.55</v>
      </c>
      <c r="R67">
        <v>6</v>
      </c>
      <c r="S67">
        <v>5.14</v>
      </c>
      <c r="T67">
        <v>0.2</v>
      </c>
      <c r="U67">
        <v>5.03</v>
      </c>
      <c r="V67">
        <v>4.66</v>
      </c>
      <c r="W67">
        <v>4.46</v>
      </c>
      <c r="X67">
        <v>4.41</v>
      </c>
      <c r="Y67">
        <v>5.47</v>
      </c>
      <c r="Z67">
        <v>5.62</v>
      </c>
      <c r="AA67">
        <v>5.69</v>
      </c>
      <c r="AB67">
        <v>148300</v>
      </c>
      <c r="AC67">
        <v>42500</v>
      </c>
      <c r="AD67">
        <v>56600</v>
      </c>
      <c r="AE67">
        <v>50300</v>
      </c>
      <c r="AF67">
        <v>128600</v>
      </c>
      <c r="AG67" s="2">
        <f>AVERAGE(AB67:AF67)</f>
        <v>85260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1</v>
      </c>
      <c r="AS67">
        <v>2.86</v>
      </c>
      <c r="AT67">
        <v>5.64</v>
      </c>
      <c r="AU67">
        <v>81.7</v>
      </c>
      <c r="AV67">
        <v>18.3</v>
      </c>
      <c r="AW67">
        <v>0</v>
      </c>
      <c r="AX67">
        <v>0</v>
      </c>
      <c r="AY67">
        <v>52.3</v>
      </c>
      <c r="AZ67">
        <v>51.9</v>
      </c>
      <c r="BA67">
        <v>49</v>
      </c>
      <c r="BB67">
        <v>50.1</v>
      </c>
      <c r="BC67">
        <v>44.2</v>
      </c>
      <c r="BD67">
        <v>1</v>
      </c>
      <c r="BE67">
        <v>2</v>
      </c>
      <c r="BF67">
        <v>1.3</v>
      </c>
      <c r="BG67">
        <v>0</v>
      </c>
      <c r="BH67">
        <v>0</v>
      </c>
      <c r="BI67">
        <v>36.6</v>
      </c>
      <c r="BJ67">
        <v>1</v>
      </c>
      <c r="BK67">
        <v>0</v>
      </c>
      <c r="BL67">
        <v>0</v>
      </c>
      <c r="BM67">
        <v>1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 t="s">
        <v>137</v>
      </c>
      <c r="BV67">
        <v>6.5</v>
      </c>
      <c r="BW67">
        <v>7</v>
      </c>
      <c r="BX67">
        <v>6</v>
      </c>
      <c r="BY67">
        <v>0</v>
      </c>
      <c r="BZ67">
        <v>2</v>
      </c>
      <c r="CA67">
        <v>0</v>
      </c>
      <c r="CB67">
        <v>0</v>
      </c>
      <c r="CC67">
        <v>0</v>
      </c>
      <c r="CD67">
        <v>2</v>
      </c>
      <c r="CE67">
        <v>2</v>
      </c>
      <c r="CF67">
        <v>0</v>
      </c>
      <c r="CG67">
        <v>0</v>
      </c>
      <c r="CH67" t="s">
        <v>152</v>
      </c>
      <c r="CI67">
        <v>26.7</v>
      </c>
      <c r="CJ67" t="s">
        <v>139</v>
      </c>
      <c r="CK67">
        <v>1</v>
      </c>
      <c r="CL67">
        <v>6.5</v>
      </c>
      <c r="CM67" t="s">
        <v>393</v>
      </c>
      <c r="CN67">
        <v>2.12E-2</v>
      </c>
      <c r="CO67">
        <v>0.73</v>
      </c>
      <c r="CP67">
        <v>1</v>
      </c>
      <c r="CQ67" t="s">
        <v>137</v>
      </c>
      <c r="CR67">
        <v>0.11</v>
      </c>
      <c r="CS67">
        <v>0.11</v>
      </c>
      <c r="CT67">
        <v>0</v>
      </c>
      <c r="CU67">
        <v>0.11</v>
      </c>
      <c r="CV67">
        <v>1</v>
      </c>
      <c r="CW67">
        <v>1.75</v>
      </c>
      <c r="CX67">
        <v>0.81479999999999997</v>
      </c>
      <c r="CY67">
        <v>13.86</v>
      </c>
      <c r="CZ67">
        <v>8.14</v>
      </c>
      <c r="DA67" t="s">
        <v>154</v>
      </c>
      <c r="DB67">
        <v>1</v>
      </c>
      <c r="DC67">
        <v>0</v>
      </c>
      <c r="DD67">
        <v>2.5</v>
      </c>
      <c r="DE67">
        <v>0</v>
      </c>
      <c r="DF67">
        <v>1</v>
      </c>
      <c r="DG67">
        <v>-2634156</v>
      </c>
      <c r="DH67">
        <v>-4.04</v>
      </c>
      <c r="DI67">
        <v>-1.49</v>
      </c>
      <c r="DJ67">
        <v>2494297</v>
      </c>
      <c r="DK67">
        <v>-5128453</v>
      </c>
      <c r="DL67">
        <v>12403709</v>
      </c>
      <c r="DM67">
        <v>8953642</v>
      </c>
      <c r="DN67">
        <v>3450067</v>
      </c>
      <c r="DO67">
        <v>1.39</v>
      </c>
      <c r="DP67">
        <v>3.11</v>
      </c>
      <c r="DQ67">
        <v>1.01</v>
      </c>
      <c r="DR67" t="s">
        <v>137</v>
      </c>
      <c r="DS67">
        <v>13.86</v>
      </c>
      <c r="DT67">
        <v>8.14</v>
      </c>
      <c r="DU67" t="s">
        <v>137</v>
      </c>
      <c r="DV67">
        <v>5.54</v>
      </c>
      <c r="DW67" t="s">
        <v>137</v>
      </c>
      <c r="DX67">
        <v>4.29</v>
      </c>
      <c r="DY67">
        <v>0</v>
      </c>
      <c r="DZ67">
        <v>39</v>
      </c>
      <c r="EA67">
        <v>20</v>
      </c>
      <c r="EB67">
        <v>2</v>
      </c>
      <c r="EC67">
        <v>59</v>
      </c>
      <c r="ED67">
        <v>1</v>
      </c>
    </row>
    <row r="68" spans="1:134" hidden="1" x14ac:dyDescent="0.2">
      <c r="A68" t="s">
        <v>394</v>
      </c>
      <c r="B68" t="s">
        <v>395</v>
      </c>
      <c r="C68" t="s">
        <v>301</v>
      </c>
      <c r="D68" t="s">
        <v>396</v>
      </c>
      <c r="E68">
        <v>235663904</v>
      </c>
      <c r="F68">
        <v>6.27</v>
      </c>
      <c r="G68">
        <v>6.36</v>
      </c>
      <c r="H68">
        <v>6.45</v>
      </c>
      <c r="I68">
        <v>6.72</v>
      </c>
      <c r="J68">
        <v>6.83</v>
      </c>
      <c r="K68">
        <v>6.53</v>
      </c>
      <c r="L68">
        <v>6.45</v>
      </c>
      <c r="M68">
        <v>6.56</v>
      </c>
      <c r="N68">
        <v>6.69</v>
      </c>
      <c r="O68">
        <v>6.57</v>
      </c>
      <c r="P68">
        <v>0.28000000000000003</v>
      </c>
      <c r="Q68">
        <v>5.95</v>
      </c>
      <c r="R68">
        <v>7.5</v>
      </c>
      <c r="S68">
        <v>6.57</v>
      </c>
      <c r="T68">
        <v>0</v>
      </c>
      <c r="U68">
        <v>5.57</v>
      </c>
      <c r="V68">
        <v>6.09</v>
      </c>
      <c r="W68">
        <v>5.64</v>
      </c>
      <c r="X68">
        <v>5.14</v>
      </c>
      <c r="Y68">
        <v>6.62</v>
      </c>
      <c r="Z68">
        <v>6.88</v>
      </c>
      <c r="AA68" t="s">
        <v>137</v>
      </c>
      <c r="AB68">
        <v>123100</v>
      </c>
      <c r="AC68">
        <v>306400</v>
      </c>
      <c r="AD68">
        <v>143400</v>
      </c>
      <c r="AE68">
        <v>102000</v>
      </c>
      <c r="AF68">
        <v>141800</v>
      </c>
      <c r="AG68" s="2">
        <f>AVERAGE(AB68:AF68)</f>
        <v>163340</v>
      </c>
      <c r="AH68">
        <v>1</v>
      </c>
      <c r="AI68">
        <v>1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1</v>
      </c>
      <c r="AS68">
        <v>3.38</v>
      </c>
      <c r="AT68">
        <v>6.72</v>
      </c>
      <c r="AU68">
        <v>95.5</v>
      </c>
      <c r="AV68">
        <v>4.5</v>
      </c>
      <c r="AW68">
        <v>0</v>
      </c>
      <c r="AX68">
        <v>1</v>
      </c>
      <c r="AY68">
        <v>64.8</v>
      </c>
      <c r="AZ68">
        <v>70.7</v>
      </c>
      <c r="BA68">
        <v>64.599999999999994</v>
      </c>
      <c r="BB68">
        <v>65.099999999999994</v>
      </c>
      <c r="BC68">
        <v>65.3</v>
      </c>
      <c r="BD68">
        <v>0</v>
      </c>
      <c r="BE68">
        <v>62.7</v>
      </c>
      <c r="BF68">
        <v>70.7</v>
      </c>
      <c r="BG68">
        <v>0</v>
      </c>
      <c r="BH68">
        <v>0</v>
      </c>
      <c r="BI68">
        <v>35.5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 t="s">
        <v>137</v>
      </c>
      <c r="BV68">
        <v>8</v>
      </c>
      <c r="BW68">
        <v>8</v>
      </c>
      <c r="BX68">
        <v>8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 t="s">
        <v>152</v>
      </c>
      <c r="CI68">
        <v>21.8</v>
      </c>
      <c r="CJ68" t="s">
        <v>139</v>
      </c>
      <c r="CK68">
        <v>1</v>
      </c>
      <c r="CL68">
        <v>8</v>
      </c>
      <c r="CM68" t="s">
        <v>397</v>
      </c>
      <c r="CN68" t="s">
        <v>137</v>
      </c>
      <c r="CO68">
        <v>4.25</v>
      </c>
      <c r="CP68">
        <v>1</v>
      </c>
      <c r="CQ68" t="s">
        <v>137</v>
      </c>
      <c r="CR68">
        <v>0.16</v>
      </c>
      <c r="CS68">
        <v>0.14000000000000001</v>
      </c>
      <c r="CT68">
        <v>1.999999999999999E-2</v>
      </c>
      <c r="CU68">
        <v>0.16</v>
      </c>
      <c r="CV68">
        <v>1</v>
      </c>
      <c r="CW68">
        <v>0.6</v>
      </c>
      <c r="CX68">
        <v>0.60470000000000002</v>
      </c>
      <c r="CY68">
        <v>12.17</v>
      </c>
      <c r="CZ68">
        <v>10.27</v>
      </c>
      <c r="DA68" t="s">
        <v>282</v>
      </c>
      <c r="DB68">
        <v>0</v>
      </c>
      <c r="DC68">
        <v>0</v>
      </c>
      <c r="DD68">
        <v>0.5</v>
      </c>
      <c r="DE68">
        <v>0</v>
      </c>
      <c r="DF68">
        <v>0</v>
      </c>
      <c r="DG68">
        <v>-21104000</v>
      </c>
      <c r="DH68">
        <v>-8.9600000000000009</v>
      </c>
      <c r="DI68">
        <v>-29.29</v>
      </c>
      <c r="DJ68">
        <v>41535000</v>
      </c>
      <c r="DK68">
        <v>-62639000</v>
      </c>
      <c r="DL68">
        <v>2563000</v>
      </c>
      <c r="DM68">
        <v>45370000</v>
      </c>
      <c r="DN68">
        <v>-42807000</v>
      </c>
      <c r="DO68">
        <v>0.06</v>
      </c>
      <c r="DP68">
        <v>0.46</v>
      </c>
      <c r="DQ68">
        <v>0.46</v>
      </c>
      <c r="DR68">
        <v>0.81</v>
      </c>
      <c r="DS68">
        <v>12.17</v>
      </c>
      <c r="DT68">
        <v>10.27</v>
      </c>
      <c r="DU68">
        <v>0.81</v>
      </c>
      <c r="DV68">
        <v>5.86</v>
      </c>
      <c r="DW68" t="s">
        <v>137</v>
      </c>
      <c r="DX68">
        <v>2.23</v>
      </c>
      <c r="DY68">
        <v>0</v>
      </c>
      <c r="DZ68">
        <v>22</v>
      </c>
      <c r="EA68">
        <v>30</v>
      </c>
      <c r="EB68">
        <v>3</v>
      </c>
      <c r="EC68">
        <v>52</v>
      </c>
      <c r="ED68">
        <v>1</v>
      </c>
    </row>
    <row r="69" spans="1:134" hidden="1" x14ac:dyDescent="0.2">
      <c r="A69" s="2" t="s">
        <v>398</v>
      </c>
      <c r="B69" s="2" t="s">
        <v>399</v>
      </c>
      <c r="C69" s="2" t="s">
        <v>135</v>
      </c>
      <c r="D69" s="2" t="s">
        <v>136</v>
      </c>
      <c r="E69" s="2">
        <v>285614112</v>
      </c>
      <c r="F69" s="2">
        <v>19.91</v>
      </c>
      <c r="G69" s="2">
        <v>19.63</v>
      </c>
      <c r="H69" s="2">
        <v>19.5</v>
      </c>
      <c r="I69" s="2">
        <v>19.34</v>
      </c>
      <c r="J69" s="2">
        <v>19.350000000000001</v>
      </c>
      <c r="K69" s="2">
        <v>19.25</v>
      </c>
      <c r="L69" s="2">
        <v>19.3</v>
      </c>
      <c r="M69" s="2">
        <v>19.22</v>
      </c>
      <c r="N69" s="2">
        <v>19.309999999999999</v>
      </c>
      <c r="O69" s="2">
        <v>19.73</v>
      </c>
      <c r="P69" s="2">
        <v>0.49</v>
      </c>
      <c r="Q69" s="2">
        <v>19.12</v>
      </c>
      <c r="R69" s="2">
        <v>20.64</v>
      </c>
      <c r="S69" s="2">
        <v>19.73</v>
      </c>
      <c r="T69" s="2">
        <v>0</v>
      </c>
      <c r="U69" s="2">
        <v>19.850000000000001</v>
      </c>
      <c r="V69" s="2">
        <v>19.36</v>
      </c>
      <c r="W69" s="2">
        <v>18.850000000000001</v>
      </c>
      <c r="X69" s="2">
        <v>18.5</v>
      </c>
      <c r="Y69" s="2">
        <v>20.32</v>
      </c>
      <c r="Z69" s="2">
        <v>20.74</v>
      </c>
      <c r="AA69" s="2" t="s">
        <v>137</v>
      </c>
      <c r="AB69" s="2">
        <v>50900</v>
      </c>
      <c r="AC69" s="2">
        <v>97800</v>
      </c>
      <c r="AD69" s="2">
        <v>47500</v>
      </c>
      <c r="AE69" s="2">
        <v>102000</v>
      </c>
      <c r="AF69" s="2">
        <v>61900</v>
      </c>
      <c r="AG69" s="2">
        <f>AVERAGE(AB69:AF69)</f>
        <v>72020</v>
      </c>
      <c r="AH69" s="2">
        <v>0</v>
      </c>
      <c r="AI69" s="2">
        <v>0</v>
      </c>
      <c r="AJ69" s="2">
        <v>0</v>
      </c>
      <c r="AK69" s="2">
        <v>0</v>
      </c>
      <c r="AL69" s="2">
        <v>1</v>
      </c>
      <c r="AM69" s="2">
        <v>0</v>
      </c>
      <c r="AN69" s="2">
        <v>0</v>
      </c>
      <c r="AO69" s="2">
        <v>0</v>
      </c>
      <c r="AP69" s="2">
        <v>0</v>
      </c>
      <c r="AQ69" s="2">
        <v>1</v>
      </c>
      <c r="AR69" s="2">
        <v>0</v>
      </c>
      <c r="AS69" s="2">
        <v>13.54</v>
      </c>
      <c r="AT69" s="2">
        <v>20.8</v>
      </c>
      <c r="AU69" s="2">
        <v>85.3</v>
      </c>
      <c r="AV69" s="2">
        <v>14.7</v>
      </c>
      <c r="AW69" s="2">
        <v>0</v>
      </c>
      <c r="AX69" s="2">
        <v>0</v>
      </c>
      <c r="AY69" s="2">
        <v>48</v>
      </c>
      <c r="AZ69" s="2">
        <v>44.3</v>
      </c>
      <c r="BA69" s="2">
        <v>43.1</v>
      </c>
      <c r="BB69" s="2">
        <v>42.8</v>
      </c>
      <c r="BC69" s="2">
        <v>50.9</v>
      </c>
      <c r="BD69" s="2">
        <v>1</v>
      </c>
      <c r="BE69" s="2">
        <v>19.3</v>
      </c>
      <c r="BF69" s="2">
        <v>6.4</v>
      </c>
      <c r="BG69" s="2">
        <v>0</v>
      </c>
      <c r="BH69" s="2">
        <v>0</v>
      </c>
      <c r="BI69" s="2">
        <v>11.8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 t="s">
        <v>137</v>
      </c>
      <c r="BV69" s="2">
        <v>24</v>
      </c>
      <c r="BW69" s="2">
        <v>24</v>
      </c>
      <c r="BX69" s="2">
        <v>24</v>
      </c>
      <c r="BY69" s="2">
        <v>0</v>
      </c>
      <c r="BZ69" s="2">
        <v>1</v>
      </c>
      <c r="CA69" s="2">
        <v>0</v>
      </c>
      <c r="CB69" s="2">
        <v>0</v>
      </c>
      <c r="CC69" s="2">
        <v>0</v>
      </c>
      <c r="CD69" s="2">
        <v>1</v>
      </c>
      <c r="CE69" s="2">
        <v>1</v>
      </c>
      <c r="CF69" s="2">
        <v>0</v>
      </c>
      <c r="CG69" s="2">
        <v>0</v>
      </c>
      <c r="CH69" s="2" t="s">
        <v>152</v>
      </c>
      <c r="CI69" s="2">
        <v>21.6</v>
      </c>
      <c r="CJ69" s="2" t="s">
        <v>139</v>
      </c>
      <c r="CK69" s="2">
        <v>0</v>
      </c>
      <c r="CL69" s="2">
        <v>24</v>
      </c>
      <c r="CM69" s="2" t="s">
        <v>400</v>
      </c>
      <c r="CN69" s="2">
        <v>2.6500002000000002E-2</v>
      </c>
      <c r="CO69" s="2">
        <v>3.61</v>
      </c>
      <c r="CP69" s="2">
        <v>0</v>
      </c>
      <c r="CQ69" s="2" t="s">
        <v>137</v>
      </c>
      <c r="CR69" s="2">
        <v>0.87</v>
      </c>
      <c r="CS69" s="2">
        <v>0.93</v>
      </c>
      <c r="CT69" s="2">
        <v>-6.0000000000000053E-2</v>
      </c>
      <c r="CU69" s="2">
        <v>0.87</v>
      </c>
      <c r="CV69" s="2">
        <v>1</v>
      </c>
      <c r="CW69" s="2">
        <v>0.1918</v>
      </c>
      <c r="CX69" s="2" t="s">
        <v>137</v>
      </c>
      <c r="CY69" s="2">
        <v>7.99</v>
      </c>
      <c r="CZ69" s="2">
        <v>6.8</v>
      </c>
      <c r="DA69" s="2" t="s">
        <v>148</v>
      </c>
      <c r="DB69" s="2">
        <v>1</v>
      </c>
      <c r="DC69" s="2">
        <v>1</v>
      </c>
      <c r="DD69" s="2">
        <v>1.5</v>
      </c>
      <c r="DE69" s="2">
        <v>0</v>
      </c>
      <c r="DF69" s="2">
        <v>0</v>
      </c>
      <c r="DG69" s="2">
        <v>73051966</v>
      </c>
      <c r="DH69" s="2">
        <v>25.58</v>
      </c>
      <c r="DI69" s="2">
        <v>30.73</v>
      </c>
      <c r="DJ69" s="2">
        <v>75859517</v>
      </c>
      <c r="DK69" s="2">
        <v>-2807551</v>
      </c>
      <c r="DL69" s="2">
        <v>16924856</v>
      </c>
      <c r="DM69" s="2">
        <v>3904460</v>
      </c>
      <c r="DN69" s="2">
        <v>13020396</v>
      </c>
      <c r="DO69" s="2">
        <v>4.33</v>
      </c>
      <c r="DP69" s="2">
        <v>0.51</v>
      </c>
      <c r="DQ69" s="2">
        <v>0.2</v>
      </c>
      <c r="DR69" s="2">
        <v>3.28</v>
      </c>
      <c r="DS69" s="2">
        <v>7.99</v>
      </c>
      <c r="DT69" s="2">
        <v>6.8</v>
      </c>
      <c r="DU69" s="2">
        <v>3.28</v>
      </c>
      <c r="DV69" s="2">
        <v>5.76</v>
      </c>
      <c r="DW69" s="2">
        <v>3.91</v>
      </c>
      <c r="DX69" s="2">
        <v>0</v>
      </c>
      <c r="DY69" s="2">
        <v>0</v>
      </c>
      <c r="DZ69" s="2">
        <v>15</v>
      </c>
      <c r="EA69" s="2">
        <v>20</v>
      </c>
      <c r="EB69" s="2">
        <v>2</v>
      </c>
      <c r="EC69" s="2">
        <v>35</v>
      </c>
      <c r="ED69" s="2">
        <v>0</v>
      </c>
    </row>
    <row r="70" spans="1:134" hidden="1" x14ac:dyDescent="0.2">
      <c r="A70" t="s">
        <v>299</v>
      </c>
      <c r="B70" t="s">
        <v>300</v>
      </c>
      <c r="C70" t="s">
        <v>301</v>
      </c>
      <c r="D70" t="s">
        <v>302</v>
      </c>
      <c r="E70">
        <v>954046080</v>
      </c>
      <c r="F70">
        <v>23.49</v>
      </c>
      <c r="G70">
        <v>24.37</v>
      </c>
      <c r="H70">
        <v>26.79</v>
      </c>
      <c r="I70">
        <v>27.88</v>
      </c>
      <c r="J70">
        <v>27.62</v>
      </c>
      <c r="K70">
        <v>27.42</v>
      </c>
      <c r="L70">
        <v>27.33</v>
      </c>
      <c r="M70">
        <v>27.33</v>
      </c>
      <c r="N70">
        <v>26.65</v>
      </c>
      <c r="O70">
        <v>26.34</v>
      </c>
      <c r="P70">
        <v>1.43</v>
      </c>
      <c r="Q70">
        <v>24.24</v>
      </c>
      <c r="R70">
        <v>29.49</v>
      </c>
      <c r="S70">
        <v>26.4</v>
      </c>
      <c r="T70">
        <v>0.2</v>
      </c>
      <c r="U70">
        <v>26.91</v>
      </c>
      <c r="V70">
        <v>24.95</v>
      </c>
      <c r="W70">
        <v>23.32</v>
      </c>
      <c r="X70">
        <v>22.98</v>
      </c>
      <c r="Y70">
        <v>27.43</v>
      </c>
      <c r="Z70">
        <v>28.61</v>
      </c>
      <c r="AA70">
        <v>39.67</v>
      </c>
      <c r="AB70">
        <v>219800</v>
      </c>
      <c r="AC70">
        <v>766900</v>
      </c>
      <c r="AD70">
        <v>529500</v>
      </c>
      <c r="AE70">
        <v>542300</v>
      </c>
      <c r="AF70">
        <v>284000</v>
      </c>
      <c r="AG70" s="2">
        <f>AVERAGE(AB70:AF70)</f>
        <v>468500</v>
      </c>
      <c r="AH70">
        <v>1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11.74</v>
      </c>
      <c r="AT70">
        <v>38.82</v>
      </c>
      <c r="AU70">
        <v>53.9</v>
      </c>
      <c r="AV70">
        <v>46.1</v>
      </c>
      <c r="AW70">
        <v>0</v>
      </c>
      <c r="AX70">
        <v>0</v>
      </c>
      <c r="AY70">
        <v>44.2</v>
      </c>
      <c r="AZ70">
        <v>55.7</v>
      </c>
      <c r="BA70">
        <v>54.1</v>
      </c>
      <c r="BB70">
        <v>53.8</v>
      </c>
      <c r="BC70">
        <v>50.3</v>
      </c>
      <c r="BD70">
        <v>0</v>
      </c>
      <c r="BE70">
        <v>83.5</v>
      </c>
      <c r="BF70">
        <v>91.4</v>
      </c>
      <c r="BG70">
        <v>0</v>
      </c>
      <c r="BH70">
        <v>0</v>
      </c>
      <c r="BI70">
        <v>20.5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38.25</v>
      </c>
      <c r="BW70">
        <v>43</v>
      </c>
      <c r="BX70">
        <v>32</v>
      </c>
      <c r="BY70">
        <v>0</v>
      </c>
      <c r="BZ70">
        <v>6</v>
      </c>
      <c r="CA70">
        <v>0</v>
      </c>
      <c r="CB70">
        <v>0</v>
      </c>
      <c r="CC70">
        <v>0</v>
      </c>
      <c r="CD70">
        <v>6</v>
      </c>
      <c r="CE70">
        <v>6</v>
      </c>
      <c r="CF70">
        <v>0</v>
      </c>
      <c r="CG70">
        <v>0</v>
      </c>
      <c r="CH70" t="s">
        <v>268</v>
      </c>
      <c r="CI70">
        <v>45.2</v>
      </c>
      <c r="CJ70" t="s">
        <v>237</v>
      </c>
      <c r="CK70">
        <v>1</v>
      </c>
      <c r="CL70">
        <v>38.85</v>
      </c>
      <c r="CM70" t="s">
        <v>303</v>
      </c>
      <c r="CN70">
        <v>0.24200000999999999</v>
      </c>
      <c r="CO70">
        <v>4.4400000000000004</v>
      </c>
      <c r="CP70">
        <v>1</v>
      </c>
      <c r="CQ70" t="s">
        <v>137</v>
      </c>
      <c r="CR70">
        <v>0.18</v>
      </c>
      <c r="CS70">
        <v>0.14000000000000001</v>
      </c>
      <c r="CT70">
        <v>3.999999999999998E-2</v>
      </c>
      <c r="CU70">
        <v>0.18</v>
      </c>
      <c r="CV70">
        <v>2</v>
      </c>
      <c r="CW70">
        <v>-0.68559999999999999</v>
      </c>
      <c r="CX70">
        <v>-0.2727</v>
      </c>
      <c r="CY70">
        <v>26.08</v>
      </c>
      <c r="CZ70">
        <v>32.520000000000003</v>
      </c>
      <c r="DA70" t="s">
        <v>201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5220000</v>
      </c>
      <c r="DH70">
        <v>0.55000000000000004</v>
      </c>
      <c r="DI70">
        <v>1.78</v>
      </c>
      <c r="DJ70">
        <v>7204000</v>
      </c>
      <c r="DK70">
        <v>-1984000</v>
      </c>
      <c r="DL70">
        <v>4402000</v>
      </c>
      <c r="DM70">
        <v>57189000</v>
      </c>
      <c r="DN70">
        <v>-52787000</v>
      </c>
      <c r="DO70">
        <v>0.08</v>
      </c>
      <c r="DP70">
        <v>1.78</v>
      </c>
      <c r="DQ70">
        <v>1.46</v>
      </c>
      <c r="DR70">
        <v>4.32</v>
      </c>
      <c r="DS70">
        <v>26.08</v>
      </c>
      <c r="DT70">
        <v>32.520000000000003</v>
      </c>
      <c r="DU70">
        <v>4.32</v>
      </c>
      <c r="DV70">
        <v>25.55</v>
      </c>
      <c r="DW70">
        <v>182.77</v>
      </c>
      <c r="DX70">
        <v>5.52</v>
      </c>
      <c r="DY70">
        <v>0</v>
      </c>
      <c r="DZ70">
        <v>41</v>
      </c>
      <c r="EA70">
        <v>0</v>
      </c>
      <c r="EB70">
        <v>0</v>
      </c>
      <c r="EC70">
        <v>41</v>
      </c>
      <c r="ED70">
        <v>0</v>
      </c>
    </row>
    <row r="71" spans="1:134" hidden="1" x14ac:dyDescent="0.2">
      <c r="A71" t="s">
        <v>405</v>
      </c>
      <c r="B71" t="s">
        <v>406</v>
      </c>
      <c r="C71" t="s">
        <v>135</v>
      </c>
      <c r="D71" t="s">
        <v>163</v>
      </c>
      <c r="E71">
        <v>617834624</v>
      </c>
      <c r="F71">
        <v>10.1</v>
      </c>
      <c r="G71">
        <v>10</v>
      </c>
      <c r="H71">
        <v>9.9600000000000009</v>
      </c>
      <c r="I71">
        <v>9.73</v>
      </c>
      <c r="J71">
        <v>9.73</v>
      </c>
      <c r="K71">
        <v>9.83</v>
      </c>
      <c r="L71">
        <v>9.93</v>
      </c>
      <c r="M71">
        <v>9.7799999999999994</v>
      </c>
      <c r="N71">
        <v>9.7799999999999994</v>
      </c>
      <c r="O71">
        <v>9.7799999999999994</v>
      </c>
      <c r="P71">
        <v>0.24</v>
      </c>
      <c r="Q71">
        <v>9.5299999999999994</v>
      </c>
      <c r="R71">
        <v>10.15</v>
      </c>
      <c r="S71">
        <v>9.7799999999999994</v>
      </c>
      <c r="T71">
        <v>0</v>
      </c>
      <c r="U71">
        <v>9.64</v>
      </c>
      <c r="V71">
        <v>9.65</v>
      </c>
      <c r="W71">
        <v>9.5</v>
      </c>
      <c r="X71">
        <v>9.36</v>
      </c>
      <c r="Y71">
        <v>9.7799999999999994</v>
      </c>
      <c r="Z71">
        <v>9.9700000000000006</v>
      </c>
      <c r="AA71">
        <v>10.08</v>
      </c>
      <c r="AB71">
        <v>436100</v>
      </c>
      <c r="AC71">
        <v>417200</v>
      </c>
      <c r="AD71">
        <v>346000</v>
      </c>
      <c r="AE71">
        <v>346300</v>
      </c>
      <c r="AF71">
        <v>508000</v>
      </c>
      <c r="AG71" s="2">
        <f>AVERAGE(AB71:AF71)</f>
        <v>410720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1</v>
      </c>
      <c r="AS71">
        <v>6.26</v>
      </c>
      <c r="AT71">
        <v>10.130000000000001</v>
      </c>
      <c r="AU71">
        <v>91</v>
      </c>
      <c r="AV71">
        <v>9</v>
      </c>
      <c r="AW71">
        <v>1</v>
      </c>
      <c r="AX71">
        <v>0</v>
      </c>
      <c r="AY71">
        <v>59</v>
      </c>
      <c r="AZ71">
        <v>48.8</v>
      </c>
      <c r="BA71">
        <v>52.1</v>
      </c>
      <c r="BB71">
        <v>50.4</v>
      </c>
      <c r="BC71">
        <v>50.4</v>
      </c>
      <c r="BD71">
        <v>0</v>
      </c>
      <c r="BE71">
        <v>11.9</v>
      </c>
      <c r="BF71">
        <v>13.3</v>
      </c>
      <c r="BG71">
        <v>0</v>
      </c>
      <c r="BH71">
        <v>0</v>
      </c>
      <c r="BI71">
        <v>13.1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 t="s">
        <v>137</v>
      </c>
      <c r="BV71">
        <v>10.66667</v>
      </c>
      <c r="BW71">
        <v>11</v>
      </c>
      <c r="BX71">
        <v>10.5</v>
      </c>
      <c r="BY71">
        <v>2</v>
      </c>
      <c r="BZ71">
        <v>0</v>
      </c>
      <c r="CA71">
        <v>1</v>
      </c>
      <c r="CB71">
        <v>0</v>
      </c>
      <c r="CC71">
        <v>0</v>
      </c>
      <c r="CD71">
        <v>3</v>
      </c>
      <c r="CE71">
        <v>2</v>
      </c>
      <c r="CF71">
        <v>1</v>
      </c>
      <c r="CG71">
        <v>0</v>
      </c>
      <c r="CH71" t="s">
        <v>152</v>
      </c>
      <c r="CI71">
        <v>9.1</v>
      </c>
      <c r="CJ71" t="s">
        <v>139</v>
      </c>
      <c r="CK71">
        <v>1</v>
      </c>
      <c r="CL71">
        <v>10.67</v>
      </c>
      <c r="CM71" t="s">
        <v>407</v>
      </c>
      <c r="CN71">
        <v>4.8800003000000002E-2</v>
      </c>
      <c r="CO71">
        <v>3.9</v>
      </c>
      <c r="CP71">
        <v>1</v>
      </c>
      <c r="CQ71" t="s">
        <v>137</v>
      </c>
      <c r="CR71">
        <v>0.17</v>
      </c>
      <c r="CS71">
        <v>0.17499999999999999</v>
      </c>
      <c r="CT71">
        <v>-4.9999999999999767E-3</v>
      </c>
      <c r="CU71">
        <v>0.17</v>
      </c>
      <c r="CV71">
        <v>3</v>
      </c>
      <c r="CW71">
        <v>0.1333</v>
      </c>
      <c r="CX71">
        <v>0.33330001999999997</v>
      </c>
      <c r="CY71">
        <v>17.16</v>
      </c>
      <c r="CZ71">
        <v>9.83</v>
      </c>
      <c r="DA71" t="s">
        <v>214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35274000</v>
      </c>
      <c r="DH71">
        <v>5.71</v>
      </c>
      <c r="DI71">
        <v>20</v>
      </c>
      <c r="DJ71">
        <v>37735000</v>
      </c>
      <c r="DK71">
        <v>-2461000</v>
      </c>
      <c r="DL71">
        <v>127501000</v>
      </c>
      <c r="DM71">
        <v>1160720000</v>
      </c>
      <c r="DN71">
        <v>-1033219000</v>
      </c>
      <c r="DO71">
        <v>0.11</v>
      </c>
      <c r="DP71" t="s">
        <v>137</v>
      </c>
      <c r="DQ71" t="s">
        <v>137</v>
      </c>
      <c r="DR71">
        <v>-7.92</v>
      </c>
      <c r="DS71">
        <v>17.16</v>
      </c>
      <c r="DT71">
        <v>9.83</v>
      </c>
      <c r="DU71">
        <v>-7.92</v>
      </c>
      <c r="DV71" t="s">
        <v>137</v>
      </c>
      <c r="DW71">
        <v>17.52</v>
      </c>
      <c r="DX71">
        <v>2.2000000000000002</v>
      </c>
      <c r="DY71">
        <v>0</v>
      </c>
      <c r="DZ71">
        <v>30</v>
      </c>
      <c r="EA71">
        <v>10</v>
      </c>
      <c r="EB71">
        <v>1</v>
      </c>
      <c r="EC71">
        <v>40</v>
      </c>
      <c r="ED71">
        <v>0</v>
      </c>
    </row>
    <row r="72" spans="1:134" hidden="1" x14ac:dyDescent="0.2">
      <c r="A72" t="s">
        <v>335</v>
      </c>
      <c r="B72" t="s">
        <v>336</v>
      </c>
      <c r="C72" t="s">
        <v>144</v>
      </c>
      <c r="D72" t="s">
        <v>145</v>
      </c>
      <c r="E72">
        <v>1512653696</v>
      </c>
      <c r="F72">
        <v>21.59</v>
      </c>
      <c r="G72">
        <v>21.78</v>
      </c>
      <c r="H72">
        <v>21.69</v>
      </c>
      <c r="I72">
        <v>22.03</v>
      </c>
      <c r="J72">
        <v>21.93</v>
      </c>
      <c r="K72">
        <v>21.84</v>
      </c>
      <c r="L72">
        <v>22.08</v>
      </c>
      <c r="M72">
        <v>21.98</v>
      </c>
      <c r="N72">
        <v>22.11</v>
      </c>
      <c r="O72">
        <v>22.04</v>
      </c>
      <c r="P72">
        <v>0.56000000000000005</v>
      </c>
      <c r="Q72">
        <v>20.95</v>
      </c>
      <c r="R72">
        <v>23.68</v>
      </c>
      <c r="S72">
        <v>22.04</v>
      </c>
      <c r="T72">
        <v>0</v>
      </c>
      <c r="U72">
        <v>22.87</v>
      </c>
      <c r="V72">
        <v>21.23</v>
      </c>
      <c r="W72">
        <v>20.6</v>
      </c>
      <c r="X72">
        <v>20.010000000000002</v>
      </c>
      <c r="Y72">
        <v>22.32</v>
      </c>
      <c r="Z72">
        <v>23.14</v>
      </c>
      <c r="AA72">
        <v>23.65</v>
      </c>
      <c r="AB72">
        <v>636000</v>
      </c>
      <c r="AC72">
        <v>507800</v>
      </c>
      <c r="AD72">
        <v>392600</v>
      </c>
      <c r="AE72">
        <v>548800</v>
      </c>
      <c r="AF72">
        <v>482600</v>
      </c>
      <c r="AG72" s="2">
        <f>AVERAGE(AB72:AF72)</f>
        <v>513560</v>
      </c>
      <c r="AH72">
        <v>1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15.18</v>
      </c>
      <c r="AT72">
        <v>25.31</v>
      </c>
      <c r="AU72">
        <v>67.7</v>
      </c>
      <c r="AV72">
        <v>32.299999999999997</v>
      </c>
      <c r="AW72">
        <v>0</v>
      </c>
      <c r="AX72">
        <v>1</v>
      </c>
      <c r="AY72">
        <v>41.2</v>
      </c>
      <c r="AZ72">
        <v>45.4</v>
      </c>
      <c r="BA72">
        <v>42.9</v>
      </c>
      <c r="BB72">
        <v>45.3</v>
      </c>
      <c r="BC72">
        <v>46.3</v>
      </c>
      <c r="BD72">
        <v>0</v>
      </c>
      <c r="BE72">
        <v>36.4</v>
      </c>
      <c r="BF72">
        <v>31.1</v>
      </c>
      <c r="BG72">
        <v>0</v>
      </c>
      <c r="BH72">
        <v>1</v>
      </c>
      <c r="BI72">
        <v>16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 t="s">
        <v>137</v>
      </c>
      <c r="BV72">
        <v>27</v>
      </c>
      <c r="BW72">
        <v>30</v>
      </c>
      <c r="BX72">
        <v>24</v>
      </c>
      <c r="BY72">
        <v>0</v>
      </c>
      <c r="BZ72">
        <v>4</v>
      </c>
      <c r="CA72">
        <v>3</v>
      </c>
      <c r="CB72">
        <v>0</v>
      </c>
      <c r="CC72">
        <v>0</v>
      </c>
      <c r="CD72">
        <v>7</v>
      </c>
      <c r="CE72">
        <v>4</v>
      </c>
      <c r="CF72">
        <v>3</v>
      </c>
      <c r="CG72">
        <v>0</v>
      </c>
      <c r="CH72" t="s">
        <v>152</v>
      </c>
      <c r="CI72">
        <v>22.5</v>
      </c>
      <c r="CJ72" t="s">
        <v>139</v>
      </c>
      <c r="CK72">
        <v>1</v>
      </c>
      <c r="CL72">
        <v>27</v>
      </c>
      <c r="CM72" t="s">
        <v>337</v>
      </c>
      <c r="CN72">
        <v>5.0700000000000002E-2</v>
      </c>
      <c r="CO72">
        <v>4.1399999999999997</v>
      </c>
      <c r="CP72">
        <v>3</v>
      </c>
      <c r="CQ72" t="s">
        <v>137</v>
      </c>
      <c r="CR72">
        <v>0.23998</v>
      </c>
      <c r="CS72">
        <v>0.24016000000000001</v>
      </c>
      <c r="CT72">
        <v>-1.8000000000001351E-4</v>
      </c>
      <c r="CU72">
        <v>0.23998</v>
      </c>
      <c r="CV72">
        <v>7</v>
      </c>
      <c r="CW72">
        <v>-0.59330004000000003</v>
      </c>
      <c r="CX72">
        <v>0.48400003000000003</v>
      </c>
      <c r="CY72">
        <v>12.89</v>
      </c>
      <c r="CZ72">
        <v>17.91</v>
      </c>
      <c r="DA72" t="s">
        <v>177</v>
      </c>
      <c r="DB72">
        <v>0</v>
      </c>
      <c r="DC72">
        <v>0</v>
      </c>
      <c r="DD72">
        <v>1</v>
      </c>
      <c r="DE72">
        <v>0</v>
      </c>
      <c r="DF72">
        <v>0</v>
      </c>
      <c r="DG72">
        <v>139150000</v>
      </c>
      <c r="DH72">
        <v>9.1999999999999993</v>
      </c>
      <c r="DI72">
        <v>7.46</v>
      </c>
      <c r="DJ72">
        <v>144968000</v>
      </c>
      <c r="DK72">
        <v>-5818000</v>
      </c>
      <c r="DL72">
        <v>164722000</v>
      </c>
      <c r="DM72">
        <v>17729000</v>
      </c>
      <c r="DN72">
        <v>146993000</v>
      </c>
      <c r="DO72">
        <v>9.2899999999999991</v>
      </c>
      <c r="DP72">
        <v>3.02</v>
      </c>
      <c r="DQ72">
        <v>2.6</v>
      </c>
      <c r="DR72">
        <v>1.36</v>
      </c>
      <c r="DS72">
        <v>12.89</v>
      </c>
      <c r="DT72">
        <v>17.91</v>
      </c>
      <c r="DU72">
        <v>1.36</v>
      </c>
      <c r="DV72">
        <v>10.07</v>
      </c>
      <c r="DW72">
        <v>10.87</v>
      </c>
      <c r="DX72">
        <v>0</v>
      </c>
      <c r="DY72">
        <v>0</v>
      </c>
      <c r="DZ72">
        <v>39</v>
      </c>
      <c r="EA72">
        <v>30</v>
      </c>
      <c r="EB72">
        <v>3</v>
      </c>
      <c r="EC72">
        <v>69</v>
      </c>
      <c r="ED72">
        <v>0</v>
      </c>
    </row>
    <row r="73" spans="1:134" hidden="1" x14ac:dyDescent="0.2">
      <c r="A73" t="s">
        <v>411</v>
      </c>
      <c r="B73" t="s">
        <v>412</v>
      </c>
      <c r="C73" t="s">
        <v>309</v>
      </c>
      <c r="D73" t="s">
        <v>413</v>
      </c>
      <c r="E73">
        <v>190577456</v>
      </c>
      <c r="F73">
        <v>8.99</v>
      </c>
      <c r="G73">
        <v>8.9</v>
      </c>
      <c r="H73">
        <v>8.83</v>
      </c>
      <c r="I73">
        <v>8.81</v>
      </c>
      <c r="J73">
        <v>8.64</v>
      </c>
      <c r="K73">
        <v>8.4</v>
      </c>
      <c r="L73">
        <v>8.43</v>
      </c>
      <c r="M73">
        <v>8.58</v>
      </c>
      <c r="N73">
        <v>8.44</v>
      </c>
      <c r="O73">
        <v>8.2899999999999991</v>
      </c>
      <c r="P73">
        <v>0.46</v>
      </c>
      <c r="Q73">
        <v>7.84</v>
      </c>
      <c r="R73">
        <v>8.9600000000000009</v>
      </c>
      <c r="S73">
        <v>8.32</v>
      </c>
      <c r="T73">
        <v>0.4</v>
      </c>
      <c r="U73">
        <v>8.85</v>
      </c>
      <c r="V73">
        <v>8.07</v>
      </c>
      <c r="W73">
        <v>7.97</v>
      </c>
      <c r="X73">
        <v>7.65</v>
      </c>
      <c r="Y73">
        <v>8.8800000000000008</v>
      </c>
      <c r="Z73">
        <v>9.25</v>
      </c>
      <c r="AA73">
        <v>9.4499999999999993</v>
      </c>
      <c r="AB73">
        <v>178100</v>
      </c>
      <c r="AC73">
        <v>109000</v>
      </c>
      <c r="AD73">
        <v>192100</v>
      </c>
      <c r="AE73">
        <v>147500</v>
      </c>
      <c r="AF73">
        <v>192400</v>
      </c>
      <c r="AG73" s="2">
        <f>AVERAGE(AB73:AF73)</f>
        <v>163820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2.98</v>
      </c>
      <c r="AT73">
        <v>9.9</v>
      </c>
      <c r="AU73">
        <v>76.7</v>
      </c>
      <c r="AV73">
        <v>23.3</v>
      </c>
      <c r="AW73">
        <v>0</v>
      </c>
      <c r="AX73">
        <v>0</v>
      </c>
      <c r="AY73">
        <v>46.8</v>
      </c>
      <c r="AZ73">
        <v>45.5</v>
      </c>
      <c r="BA73">
        <v>39.700000000000003</v>
      </c>
      <c r="BB73">
        <v>43.1</v>
      </c>
      <c r="BC73">
        <v>39.299999999999997</v>
      </c>
      <c r="BD73">
        <v>0</v>
      </c>
      <c r="BE73">
        <v>6.8</v>
      </c>
      <c r="BF73">
        <v>6.2</v>
      </c>
      <c r="BG73">
        <v>0</v>
      </c>
      <c r="BH73">
        <v>0</v>
      </c>
      <c r="BI73">
        <v>16.100000000000001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">
        <v>137</v>
      </c>
      <c r="BV73">
        <v>10.66667</v>
      </c>
      <c r="BW73">
        <v>13</v>
      </c>
      <c r="BX73">
        <v>7</v>
      </c>
      <c r="BY73">
        <v>0</v>
      </c>
      <c r="BZ73">
        <v>1</v>
      </c>
      <c r="CA73">
        <v>1</v>
      </c>
      <c r="CB73">
        <v>0</v>
      </c>
      <c r="CC73">
        <v>0</v>
      </c>
      <c r="CD73">
        <v>2</v>
      </c>
      <c r="CE73">
        <v>1</v>
      </c>
      <c r="CF73">
        <v>1</v>
      </c>
      <c r="CG73">
        <v>0</v>
      </c>
      <c r="CH73" t="s">
        <v>152</v>
      </c>
      <c r="CI73">
        <v>28.7</v>
      </c>
      <c r="CJ73" t="s">
        <v>139</v>
      </c>
      <c r="CK73">
        <v>0</v>
      </c>
      <c r="CL73">
        <v>10.67</v>
      </c>
      <c r="CM73" t="s">
        <v>414</v>
      </c>
      <c r="CN73">
        <v>0.11470000399999999</v>
      </c>
      <c r="CO73">
        <v>7.11</v>
      </c>
      <c r="CP73">
        <v>0</v>
      </c>
      <c r="CQ73" t="s">
        <v>137</v>
      </c>
      <c r="CR73">
        <v>0.20333000000000001</v>
      </c>
      <c r="CS73">
        <v>0.22667000000000001</v>
      </c>
      <c r="CT73">
        <v>-2.334E-2</v>
      </c>
      <c r="CU73">
        <v>0.20333000000000001</v>
      </c>
      <c r="CV73">
        <v>3</v>
      </c>
      <c r="CW73">
        <v>0.84850000000000003</v>
      </c>
      <c r="CX73">
        <v>1.5267999000000001</v>
      </c>
      <c r="CY73">
        <v>5.72</v>
      </c>
      <c r="CZ73">
        <v>9.11</v>
      </c>
      <c r="DA73" t="s">
        <v>148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3254000</v>
      </c>
      <c r="DH73">
        <v>1.71</v>
      </c>
      <c r="DI73">
        <v>0.49</v>
      </c>
      <c r="DJ73">
        <v>7608000</v>
      </c>
      <c r="DK73">
        <v>-4354000</v>
      </c>
      <c r="DL73">
        <v>5451000</v>
      </c>
      <c r="DM73">
        <v>259424992</v>
      </c>
      <c r="DN73">
        <v>-253973992</v>
      </c>
      <c r="DO73">
        <v>0.02</v>
      </c>
      <c r="DP73">
        <v>2.11</v>
      </c>
      <c r="DQ73">
        <v>0.92</v>
      </c>
      <c r="DR73">
        <v>0.61</v>
      </c>
      <c r="DS73">
        <v>5.72</v>
      </c>
      <c r="DT73">
        <v>9.11</v>
      </c>
      <c r="DU73">
        <v>0.61</v>
      </c>
      <c r="DV73">
        <v>9.7200000000000006</v>
      </c>
      <c r="DW73">
        <v>58.57</v>
      </c>
      <c r="DX73">
        <v>6.85</v>
      </c>
      <c r="DY73">
        <v>0</v>
      </c>
      <c r="DZ73">
        <v>21</v>
      </c>
      <c r="EA73">
        <v>30</v>
      </c>
      <c r="EB73">
        <v>3</v>
      </c>
      <c r="EC73">
        <v>51</v>
      </c>
      <c r="ED73">
        <v>1</v>
      </c>
    </row>
    <row r="74" spans="1:134" hidden="1" x14ac:dyDescent="0.2">
      <c r="A74" s="2" t="s">
        <v>415</v>
      </c>
      <c r="B74" s="2" t="s">
        <v>416</v>
      </c>
      <c r="C74" s="2" t="s">
        <v>309</v>
      </c>
      <c r="D74" s="2" t="s">
        <v>417</v>
      </c>
      <c r="E74" s="2">
        <v>653756160</v>
      </c>
      <c r="F74" s="2">
        <v>28.24</v>
      </c>
      <c r="G74" s="2">
        <v>27.57</v>
      </c>
      <c r="H74" s="2">
        <v>27.46</v>
      </c>
      <c r="I74" s="2">
        <v>27.25</v>
      </c>
      <c r="J74" s="2">
        <v>27.11</v>
      </c>
      <c r="K74" s="2">
        <v>27.49</v>
      </c>
      <c r="L74" s="2">
        <v>27.89</v>
      </c>
      <c r="M74" s="2">
        <v>27.67</v>
      </c>
      <c r="N74" s="2">
        <v>27.42</v>
      </c>
      <c r="O74" s="2">
        <v>27.49</v>
      </c>
      <c r="P74" s="2">
        <v>0.85</v>
      </c>
      <c r="Q74" s="2">
        <v>26.94</v>
      </c>
      <c r="R74" s="2">
        <v>28.31</v>
      </c>
      <c r="S74" s="2">
        <v>27.42</v>
      </c>
      <c r="T74" s="2">
        <v>-0.3</v>
      </c>
      <c r="U74" s="2">
        <v>27.46</v>
      </c>
      <c r="V74" s="2">
        <v>27.36</v>
      </c>
      <c r="W74" s="2">
        <v>26.37</v>
      </c>
      <c r="X74" s="2">
        <v>25.5</v>
      </c>
      <c r="Y74" s="2">
        <v>27.57</v>
      </c>
      <c r="Z74" s="2">
        <v>28.54</v>
      </c>
      <c r="AA74" s="2">
        <v>29.09</v>
      </c>
      <c r="AB74" s="2">
        <v>58400</v>
      </c>
      <c r="AC74" s="2">
        <v>39200</v>
      </c>
      <c r="AD74" s="2">
        <v>102000</v>
      </c>
      <c r="AE74" s="2">
        <v>92900</v>
      </c>
      <c r="AF74" s="2">
        <v>45600</v>
      </c>
      <c r="AG74" s="2">
        <f>AVERAGE(AB74:AF74)</f>
        <v>67620</v>
      </c>
      <c r="AH74" s="2">
        <v>0</v>
      </c>
      <c r="AI74" s="2">
        <v>0</v>
      </c>
      <c r="AJ74" s="2">
        <v>1</v>
      </c>
      <c r="AK74" s="2">
        <v>0</v>
      </c>
      <c r="AL74" s="2">
        <v>1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1</v>
      </c>
      <c r="AS74" s="2">
        <v>18.79</v>
      </c>
      <c r="AT74" s="2">
        <v>29.33</v>
      </c>
      <c r="AU74" s="2">
        <v>82.5</v>
      </c>
      <c r="AV74" s="2">
        <v>17.5</v>
      </c>
      <c r="AW74" s="2">
        <v>0</v>
      </c>
      <c r="AX74" s="2">
        <v>0</v>
      </c>
      <c r="AY74" s="2">
        <v>45.7</v>
      </c>
      <c r="AZ74" s="2">
        <v>42.6</v>
      </c>
      <c r="BA74" s="2">
        <v>45.6</v>
      </c>
      <c r="BB74" s="2">
        <v>47.7</v>
      </c>
      <c r="BC74" s="2">
        <v>45.8</v>
      </c>
      <c r="BD74" s="2">
        <v>0</v>
      </c>
      <c r="BE74" s="2">
        <v>19.399999999999999</v>
      </c>
      <c r="BF74" s="2">
        <v>12.8</v>
      </c>
      <c r="BG74" s="2">
        <v>0</v>
      </c>
      <c r="BH74" s="2">
        <v>0</v>
      </c>
      <c r="BI74" s="2">
        <v>25.4</v>
      </c>
      <c r="BJ74" s="2">
        <v>1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 t="s">
        <v>137</v>
      </c>
      <c r="BV74" s="2">
        <v>24</v>
      </c>
      <c r="BW74" s="2">
        <v>24</v>
      </c>
      <c r="BX74" s="2">
        <v>24</v>
      </c>
      <c r="BY74" s="2">
        <v>0</v>
      </c>
      <c r="BZ74" s="2">
        <v>0</v>
      </c>
      <c r="CA74" s="2">
        <v>1</v>
      </c>
      <c r="CB74" s="2">
        <v>0</v>
      </c>
      <c r="CC74" s="2">
        <v>0</v>
      </c>
      <c r="CD74" s="2">
        <v>1</v>
      </c>
      <c r="CE74" s="2">
        <v>0</v>
      </c>
      <c r="CF74" s="2">
        <v>1</v>
      </c>
      <c r="CG74" s="2">
        <v>0</v>
      </c>
      <c r="CH74" s="2" t="s">
        <v>152</v>
      </c>
      <c r="CI74" s="2">
        <v>-12.7</v>
      </c>
      <c r="CJ74" s="2" t="s">
        <v>139</v>
      </c>
      <c r="CK74" s="2">
        <v>0</v>
      </c>
      <c r="CL74" s="2">
        <v>34</v>
      </c>
      <c r="CM74" s="2" t="s">
        <v>418</v>
      </c>
      <c r="CN74" s="2">
        <v>7.1400000000000005E-2</v>
      </c>
      <c r="CO74" s="2">
        <v>6.33</v>
      </c>
      <c r="CP74" s="2" t="s">
        <v>137</v>
      </c>
      <c r="CQ74" s="2" t="s">
        <v>137</v>
      </c>
      <c r="CR74" s="2" t="s">
        <v>137</v>
      </c>
      <c r="CS74" s="2" t="s">
        <v>137</v>
      </c>
      <c r="CT74" s="2" t="s">
        <v>137</v>
      </c>
      <c r="CU74" s="2" t="s">
        <v>137</v>
      </c>
      <c r="CV74" s="2" t="s">
        <v>137</v>
      </c>
      <c r="CW74" s="2" t="s">
        <v>137</v>
      </c>
      <c r="CX74" s="2">
        <v>0.51719999999999999</v>
      </c>
      <c r="CY74" s="2">
        <v>12.79</v>
      </c>
      <c r="CZ74" s="2">
        <v>12.33</v>
      </c>
      <c r="DA74" s="2" t="s">
        <v>419</v>
      </c>
      <c r="DB74" s="2">
        <v>0</v>
      </c>
      <c r="DC74" s="2">
        <v>0</v>
      </c>
      <c r="DD74" s="2">
        <v>0.5</v>
      </c>
      <c r="DE74" s="2">
        <v>0</v>
      </c>
      <c r="DF74" s="2">
        <v>0</v>
      </c>
      <c r="DG74" s="2">
        <v>28151000</v>
      </c>
      <c r="DH74" s="2">
        <v>4.3099999999999996</v>
      </c>
      <c r="DI74" s="2">
        <v>15.69</v>
      </c>
      <c r="DJ74" s="2">
        <v>37152000</v>
      </c>
      <c r="DK74" s="2">
        <v>-9001000</v>
      </c>
      <c r="DL74" s="2">
        <v>28965000</v>
      </c>
      <c r="DM74" s="2">
        <v>1109000</v>
      </c>
      <c r="DN74" s="2">
        <v>27856000</v>
      </c>
      <c r="DO74" s="2">
        <v>26.12</v>
      </c>
      <c r="DP74" s="2">
        <v>3.56</v>
      </c>
      <c r="DQ74" s="2">
        <v>1.42</v>
      </c>
      <c r="DR74" s="2">
        <v>0.61</v>
      </c>
      <c r="DS74" s="2">
        <v>12.79</v>
      </c>
      <c r="DT74" s="2">
        <v>12.33</v>
      </c>
      <c r="DU74" s="2">
        <v>0.61</v>
      </c>
      <c r="DV74" s="2">
        <v>10.3</v>
      </c>
      <c r="DW74" s="2">
        <v>23.22</v>
      </c>
      <c r="DX74" s="2">
        <v>0.65</v>
      </c>
      <c r="DY74" s="2">
        <v>0</v>
      </c>
      <c r="DZ74" s="2">
        <v>22</v>
      </c>
      <c r="EA74" s="2">
        <v>30</v>
      </c>
      <c r="EB74" s="2">
        <v>3</v>
      </c>
      <c r="EC74" s="2">
        <v>52</v>
      </c>
      <c r="ED74" s="2">
        <v>0</v>
      </c>
    </row>
    <row r="75" spans="1:134" hidden="1" x14ac:dyDescent="0.2">
      <c r="A75" s="2" t="s">
        <v>420</v>
      </c>
      <c r="B75" s="2" t="s">
        <v>421</v>
      </c>
      <c r="C75" s="2" t="s">
        <v>135</v>
      </c>
      <c r="D75" s="2" t="s">
        <v>163</v>
      </c>
      <c r="E75" s="2">
        <v>1823574656</v>
      </c>
      <c r="F75" s="2">
        <v>39.4</v>
      </c>
      <c r="G75" s="2">
        <v>39.35</v>
      </c>
      <c r="H75" s="2">
        <v>39.01</v>
      </c>
      <c r="I75" s="2">
        <v>38.9</v>
      </c>
      <c r="J75" s="2">
        <v>38.630000000000003</v>
      </c>
      <c r="K75" s="2">
        <v>39.159999999999997</v>
      </c>
      <c r="L75" s="2">
        <v>39.76</v>
      </c>
      <c r="M75" s="2">
        <v>39.25</v>
      </c>
      <c r="N75" s="2">
        <v>39.15</v>
      </c>
      <c r="O75" s="2">
        <v>39.4</v>
      </c>
      <c r="P75" s="2">
        <v>0.86</v>
      </c>
      <c r="Q75" s="2">
        <v>38.340000000000003</v>
      </c>
      <c r="R75" s="2">
        <v>40.99</v>
      </c>
      <c r="S75" s="2">
        <v>39.33</v>
      </c>
      <c r="T75" s="2">
        <v>-0.2</v>
      </c>
      <c r="U75" s="2">
        <v>41.44</v>
      </c>
      <c r="V75" s="2">
        <v>38.770000000000003</v>
      </c>
      <c r="W75" s="2">
        <v>38.19</v>
      </c>
      <c r="X75" s="2">
        <v>37.61</v>
      </c>
      <c r="Y75" s="2">
        <v>39.49</v>
      </c>
      <c r="Z75" s="2">
        <v>40.33</v>
      </c>
      <c r="AA75" s="2">
        <v>41.4</v>
      </c>
      <c r="AB75" s="2">
        <v>173600</v>
      </c>
      <c r="AC75" s="2">
        <v>219900</v>
      </c>
      <c r="AD75" s="2">
        <v>196400</v>
      </c>
      <c r="AE75" s="2">
        <v>186600</v>
      </c>
      <c r="AF75" s="2">
        <v>235600</v>
      </c>
      <c r="AG75" s="2">
        <f>AVERAGE(AB75:AF75)</f>
        <v>202420</v>
      </c>
      <c r="AH75" s="2">
        <v>0</v>
      </c>
      <c r="AI75" s="2">
        <v>0</v>
      </c>
      <c r="AJ75" s="2">
        <v>1</v>
      </c>
      <c r="AK75" s="2">
        <v>0</v>
      </c>
      <c r="AL75" s="2">
        <v>1</v>
      </c>
      <c r="AM75" s="2">
        <v>0</v>
      </c>
      <c r="AN75" s="2">
        <v>0</v>
      </c>
      <c r="AO75" s="2">
        <v>0</v>
      </c>
      <c r="AP75" s="2">
        <v>0</v>
      </c>
      <c r="AQ75" s="2">
        <v>1</v>
      </c>
      <c r="AR75" s="2">
        <v>0</v>
      </c>
      <c r="AS75" s="2">
        <v>29.41</v>
      </c>
      <c r="AT75" s="2">
        <v>43.76</v>
      </c>
      <c r="AU75" s="2">
        <v>69.599999999999994</v>
      </c>
      <c r="AV75" s="2">
        <v>30.4</v>
      </c>
      <c r="AW75" s="2">
        <v>0</v>
      </c>
      <c r="AX75" s="2">
        <v>1</v>
      </c>
      <c r="AY75" s="2">
        <v>37.4</v>
      </c>
      <c r="AZ75" s="2">
        <v>34.5</v>
      </c>
      <c r="BA75" s="2">
        <v>37.5</v>
      </c>
      <c r="BB75" s="2">
        <v>38.6</v>
      </c>
      <c r="BC75" s="2">
        <v>40.4</v>
      </c>
      <c r="BD75" s="2">
        <v>0</v>
      </c>
      <c r="BE75" s="2">
        <v>87.1</v>
      </c>
      <c r="BF75" s="2">
        <v>71.3</v>
      </c>
      <c r="BG75" s="2">
        <v>0</v>
      </c>
      <c r="BH75" s="2">
        <v>0</v>
      </c>
      <c r="BI75" s="2">
        <v>25.2</v>
      </c>
      <c r="BJ75" s="2">
        <v>1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2.4</v>
      </c>
      <c r="BV75" s="2">
        <v>46.25</v>
      </c>
      <c r="BW75" s="2">
        <v>49</v>
      </c>
      <c r="BX75" s="2">
        <v>45</v>
      </c>
      <c r="BY75" s="2">
        <v>1</v>
      </c>
      <c r="BZ75" s="2">
        <v>1</v>
      </c>
      <c r="CA75" s="2">
        <v>3</v>
      </c>
      <c r="CB75" s="2">
        <v>0</v>
      </c>
      <c r="CC75" s="2">
        <v>0</v>
      </c>
      <c r="CD75" s="2">
        <v>5</v>
      </c>
      <c r="CE75" s="2">
        <v>2</v>
      </c>
      <c r="CF75" s="2">
        <v>3</v>
      </c>
      <c r="CG75" s="2">
        <v>0</v>
      </c>
      <c r="CH75" s="2" t="s">
        <v>138</v>
      </c>
      <c r="CI75" s="2">
        <v>17.399999999999999</v>
      </c>
      <c r="CJ75" s="2" t="s">
        <v>139</v>
      </c>
      <c r="CK75" s="2">
        <v>0</v>
      </c>
      <c r="CL75" s="2">
        <v>46.75</v>
      </c>
      <c r="CM75" s="2" t="s">
        <v>422</v>
      </c>
      <c r="CN75" s="2">
        <v>6.7699999999999996E-2</v>
      </c>
      <c r="CO75" s="2">
        <v>9.7100000000000009</v>
      </c>
      <c r="CP75" s="2">
        <v>0</v>
      </c>
      <c r="CQ75" s="2" t="s">
        <v>137</v>
      </c>
      <c r="CR75" s="2">
        <v>0.8075</v>
      </c>
      <c r="CS75" s="2">
        <v>0.78666999999999998</v>
      </c>
      <c r="CT75" s="2">
        <v>2.0830000000000019E-2</v>
      </c>
      <c r="CU75" s="2">
        <v>0.8075</v>
      </c>
      <c r="CV75" s="2">
        <v>4</v>
      </c>
      <c r="CW75" s="2">
        <v>0.37659999999999999</v>
      </c>
      <c r="CX75" s="2">
        <v>0.68389999999999995</v>
      </c>
      <c r="CY75" s="2">
        <v>13.78</v>
      </c>
      <c r="CZ75" s="2">
        <v>9.31</v>
      </c>
      <c r="DA75" s="2" t="s">
        <v>177</v>
      </c>
      <c r="DB75" s="2">
        <v>0</v>
      </c>
      <c r="DC75" s="2">
        <v>1</v>
      </c>
      <c r="DD75" s="2">
        <v>1</v>
      </c>
      <c r="DE75" s="2">
        <v>0</v>
      </c>
      <c r="DF75" s="2">
        <v>0</v>
      </c>
      <c r="DG75" s="2">
        <v>143486000</v>
      </c>
      <c r="DH75" s="2">
        <v>7.87</v>
      </c>
      <c r="DI75" s="2">
        <v>27.26</v>
      </c>
      <c r="DJ75" s="2">
        <v>158242000</v>
      </c>
      <c r="DK75" s="2">
        <v>-14756000</v>
      </c>
      <c r="DL75" s="2">
        <v>927880000</v>
      </c>
      <c r="DM75" s="2">
        <v>99766000</v>
      </c>
      <c r="DN75" s="2">
        <v>828114000</v>
      </c>
      <c r="DO75" s="2">
        <v>9.3000000000000007</v>
      </c>
      <c r="DP75" s="2" t="s">
        <v>137</v>
      </c>
      <c r="DQ75" s="2" t="s">
        <v>137</v>
      </c>
      <c r="DR75" s="2" t="s">
        <v>137</v>
      </c>
      <c r="DS75" s="2">
        <v>13.78</v>
      </c>
      <c r="DT75" s="2">
        <v>9.31</v>
      </c>
      <c r="DU75" s="2" t="s">
        <v>137</v>
      </c>
      <c r="DV75" s="2" t="s">
        <v>137</v>
      </c>
      <c r="DW75" s="2">
        <v>12.71</v>
      </c>
      <c r="DX75" s="2">
        <v>0</v>
      </c>
      <c r="DY75" s="2">
        <v>0</v>
      </c>
      <c r="DZ75" s="2">
        <v>51</v>
      </c>
      <c r="EA75" s="2">
        <v>10</v>
      </c>
      <c r="EB75" s="2">
        <v>1</v>
      </c>
      <c r="EC75" s="2">
        <v>61</v>
      </c>
      <c r="ED75" s="2">
        <v>0</v>
      </c>
    </row>
    <row r="76" spans="1:134" hidden="1" x14ac:dyDescent="0.2">
      <c r="A76" s="2" t="s">
        <v>423</v>
      </c>
      <c r="B76" s="2" t="s">
        <v>424</v>
      </c>
      <c r="C76" s="2" t="s">
        <v>309</v>
      </c>
      <c r="D76" s="2" t="s">
        <v>425</v>
      </c>
      <c r="E76" s="2">
        <v>465623936</v>
      </c>
      <c r="F76" s="2">
        <v>15.27</v>
      </c>
      <c r="G76" s="2">
        <v>15.17</v>
      </c>
      <c r="H76" s="2">
        <v>15.03</v>
      </c>
      <c r="I76" s="2">
        <v>15.06</v>
      </c>
      <c r="J76" s="2">
        <v>15.03</v>
      </c>
      <c r="K76" s="2">
        <v>15.06</v>
      </c>
      <c r="L76" s="2">
        <v>15.22</v>
      </c>
      <c r="M76" s="2">
        <v>15.18</v>
      </c>
      <c r="N76" s="2">
        <v>15.24</v>
      </c>
      <c r="O76" s="2">
        <v>15.3</v>
      </c>
      <c r="P76" s="2">
        <v>0.37</v>
      </c>
      <c r="Q76" s="2">
        <v>15.12</v>
      </c>
      <c r="R76" s="2">
        <v>15.57</v>
      </c>
      <c r="S76" s="2">
        <v>15.3</v>
      </c>
      <c r="T76" s="2">
        <v>0</v>
      </c>
      <c r="U76" s="2">
        <v>15.82</v>
      </c>
      <c r="V76" s="2">
        <v>15.3</v>
      </c>
      <c r="W76" s="2">
        <v>15.04</v>
      </c>
      <c r="X76" s="2">
        <v>14.85</v>
      </c>
      <c r="Y76" s="2">
        <v>15.57</v>
      </c>
      <c r="Z76" s="2">
        <v>15.84</v>
      </c>
      <c r="AA76" s="2">
        <v>16.34</v>
      </c>
      <c r="AB76" s="2">
        <v>210200</v>
      </c>
      <c r="AC76" s="2">
        <v>181500</v>
      </c>
      <c r="AD76" s="2">
        <v>205900</v>
      </c>
      <c r="AE76" s="2">
        <v>187700</v>
      </c>
      <c r="AF76" s="2">
        <v>157400</v>
      </c>
      <c r="AG76" s="2">
        <f>AVERAGE(AB76:AF76)</f>
        <v>188540</v>
      </c>
      <c r="AH76" s="2">
        <v>0</v>
      </c>
      <c r="AI76" s="2">
        <v>1</v>
      </c>
      <c r="AJ76" s="2">
        <v>1</v>
      </c>
      <c r="AK76" s="2">
        <v>0</v>
      </c>
      <c r="AL76" s="2">
        <v>1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9.06</v>
      </c>
      <c r="AT76" s="2">
        <v>17.2</v>
      </c>
      <c r="AU76" s="2">
        <v>76.7</v>
      </c>
      <c r="AV76" s="2">
        <v>23.3</v>
      </c>
      <c r="AW76" s="2">
        <v>0</v>
      </c>
      <c r="AX76" s="2">
        <v>1</v>
      </c>
      <c r="AY76" s="2">
        <v>44.8</v>
      </c>
      <c r="AZ76" s="2">
        <v>43.3</v>
      </c>
      <c r="BA76" s="2">
        <v>43.3</v>
      </c>
      <c r="BB76" s="2">
        <v>45.5</v>
      </c>
      <c r="BC76" s="2">
        <v>47.8</v>
      </c>
      <c r="BD76" s="2">
        <v>0</v>
      </c>
      <c r="BE76" s="2">
        <v>54.9</v>
      </c>
      <c r="BF76" s="2">
        <v>39.5</v>
      </c>
      <c r="BG76" s="2">
        <v>0</v>
      </c>
      <c r="BH76" s="2">
        <v>1</v>
      </c>
      <c r="BI76" s="2">
        <v>11.6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 t="s">
        <v>137</v>
      </c>
      <c r="BV76" s="2">
        <v>20.3</v>
      </c>
      <c r="BW76" s="2">
        <v>22.5</v>
      </c>
      <c r="BX76" s="2">
        <v>17</v>
      </c>
      <c r="BY76" s="2">
        <v>0</v>
      </c>
      <c r="BZ76" s="2">
        <v>4</v>
      </c>
      <c r="CA76" s="2">
        <v>2</v>
      </c>
      <c r="CB76" s="2">
        <v>0</v>
      </c>
      <c r="CC76" s="2">
        <v>0</v>
      </c>
      <c r="CD76" s="2">
        <v>6</v>
      </c>
      <c r="CE76" s="2">
        <v>4</v>
      </c>
      <c r="CF76" s="2">
        <v>2</v>
      </c>
      <c r="CG76" s="2">
        <v>0</v>
      </c>
      <c r="CH76" s="2" t="s">
        <v>152</v>
      </c>
      <c r="CI76" s="2">
        <v>32.700000000000003</v>
      </c>
      <c r="CJ76" s="2" t="s">
        <v>139</v>
      </c>
      <c r="CK76" s="2">
        <v>1</v>
      </c>
      <c r="CL76" s="2">
        <v>20.3</v>
      </c>
      <c r="CM76" s="2" t="s">
        <v>426</v>
      </c>
      <c r="CN76" s="2">
        <v>7.3099999999999998E-2</v>
      </c>
      <c r="CO76" s="2">
        <v>6.73</v>
      </c>
      <c r="CP76" s="2">
        <v>1</v>
      </c>
      <c r="CQ76" s="2" t="s">
        <v>137</v>
      </c>
      <c r="CR76" s="2">
        <v>0.23832999999999999</v>
      </c>
      <c r="CS76" s="2">
        <v>0.23832999999999999</v>
      </c>
      <c r="CT76" s="2">
        <v>0</v>
      </c>
      <c r="CU76" s="2">
        <v>0.23832999999999999</v>
      </c>
      <c r="CV76" s="2">
        <v>6</v>
      </c>
      <c r="CW76" s="2">
        <v>-0.1173</v>
      </c>
      <c r="CX76" s="2">
        <v>4.7600000000000003E-2</v>
      </c>
      <c r="CY76" s="2">
        <v>13.08</v>
      </c>
      <c r="CZ76" s="2">
        <v>13.83</v>
      </c>
      <c r="DA76" s="2" t="s">
        <v>148</v>
      </c>
      <c r="DB76" s="2">
        <v>0</v>
      </c>
      <c r="DC76" s="2">
        <v>0</v>
      </c>
      <c r="DD76" s="2">
        <v>1</v>
      </c>
      <c r="DE76" s="2">
        <v>0</v>
      </c>
      <c r="DF76" s="2">
        <v>0</v>
      </c>
      <c r="DG76" s="2">
        <v>25441000</v>
      </c>
      <c r="DH76" s="2">
        <v>5.46</v>
      </c>
      <c r="DI76" s="2">
        <v>5.08</v>
      </c>
      <c r="DJ76" s="2">
        <v>48076000</v>
      </c>
      <c r="DK76" s="2">
        <v>-22635000</v>
      </c>
      <c r="DL76" s="2">
        <v>13282000</v>
      </c>
      <c r="DM76" s="2">
        <v>219402000</v>
      </c>
      <c r="DN76" s="2">
        <v>-206120000</v>
      </c>
      <c r="DO76" s="2">
        <v>0.06</v>
      </c>
      <c r="DP76" s="2">
        <v>0.41</v>
      </c>
      <c r="DQ76" s="2">
        <v>0.32</v>
      </c>
      <c r="DR76" s="2" t="s">
        <v>137</v>
      </c>
      <c r="DS76" s="2">
        <v>13.08</v>
      </c>
      <c r="DT76" s="2">
        <v>13.83</v>
      </c>
      <c r="DU76" s="2" t="s">
        <v>137</v>
      </c>
      <c r="DV76" s="2">
        <v>10.18</v>
      </c>
      <c r="DW76" s="2">
        <v>18.3</v>
      </c>
      <c r="DX76" s="2">
        <v>0</v>
      </c>
      <c r="DY76" s="2">
        <v>0</v>
      </c>
      <c r="DZ76" s="2">
        <v>27</v>
      </c>
      <c r="EA76" s="2">
        <v>20</v>
      </c>
      <c r="EB76" s="2">
        <v>2</v>
      </c>
      <c r="EC76" s="2">
        <v>47</v>
      </c>
      <c r="ED76" s="2">
        <v>0</v>
      </c>
    </row>
    <row r="77" spans="1:134" hidden="1" x14ac:dyDescent="0.2">
      <c r="A77" t="s">
        <v>427</v>
      </c>
      <c r="B77" t="s">
        <v>428</v>
      </c>
      <c r="C77" t="s">
        <v>157</v>
      </c>
      <c r="D77" t="s">
        <v>429</v>
      </c>
      <c r="E77">
        <v>102703584</v>
      </c>
      <c r="F77">
        <v>2.99</v>
      </c>
      <c r="G77">
        <v>3</v>
      </c>
      <c r="H77">
        <v>3</v>
      </c>
      <c r="I77">
        <v>2.93</v>
      </c>
      <c r="J77">
        <v>2.97</v>
      </c>
      <c r="K77">
        <v>3.03</v>
      </c>
      <c r="L77">
        <v>3.09</v>
      </c>
      <c r="M77">
        <v>3.38</v>
      </c>
      <c r="N77">
        <v>3.31</v>
      </c>
      <c r="O77">
        <v>3.24</v>
      </c>
      <c r="P77">
        <v>0.18</v>
      </c>
      <c r="Q77">
        <v>3.11</v>
      </c>
      <c r="R77">
        <v>3.44</v>
      </c>
      <c r="S77">
        <v>3.36</v>
      </c>
      <c r="T77">
        <v>3.7</v>
      </c>
      <c r="U77">
        <v>3.14</v>
      </c>
      <c r="V77">
        <v>3.2</v>
      </c>
      <c r="W77">
        <v>3.16</v>
      </c>
      <c r="X77">
        <v>2.93</v>
      </c>
      <c r="Y77">
        <v>3.27</v>
      </c>
      <c r="Z77">
        <v>3.45</v>
      </c>
      <c r="AA77">
        <v>3.55</v>
      </c>
      <c r="AB77">
        <v>28800</v>
      </c>
      <c r="AC77">
        <v>13600</v>
      </c>
      <c r="AD77">
        <v>50100</v>
      </c>
      <c r="AE77">
        <v>222000</v>
      </c>
      <c r="AF77">
        <v>46300</v>
      </c>
      <c r="AG77" s="2">
        <f>AVERAGE(AB77:AF77)</f>
        <v>72160</v>
      </c>
      <c r="AH77">
        <v>1</v>
      </c>
      <c r="AI77">
        <v>0</v>
      </c>
      <c r="AJ77">
        <v>1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2.38</v>
      </c>
      <c r="AT77">
        <v>6.38</v>
      </c>
      <c r="AU77">
        <v>21.5</v>
      </c>
      <c r="AV77">
        <v>78.5</v>
      </c>
      <c r="AW77">
        <v>0</v>
      </c>
      <c r="AX77">
        <v>0</v>
      </c>
      <c r="AY77">
        <v>43</v>
      </c>
      <c r="AZ77">
        <v>40.1</v>
      </c>
      <c r="BA77">
        <v>45.9</v>
      </c>
      <c r="BB77">
        <v>60.9</v>
      </c>
      <c r="BC77">
        <v>54.4</v>
      </c>
      <c r="BD77">
        <v>0</v>
      </c>
      <c r="BE77">
        <v>71.900000000000006</v>
      </c>
      <c r="BF77">
        <v>45.5</v>
      </c>
      <c r="BG77">
        <v>0</v>
      </c>
      <c r="BH77">
        <v>0</v>
      </c>
      <c r="BI77">
        <v>19.5</v>
      </c>
      <c r="BJ77">
        <v>0</v>
      </c>
      <c r="BK77">
        <v>0</v>
      </c>
      <c r="BL77">
        <v>0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 t="s">
        <v>137</v>
      </c>
      <c r="BV77">
        <v>7</v>
      </c>
      <c r="BW77">
        <v>7</v>
      </c>
      <c r="BX77">
        <v>7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1</v>
      </c>
      <c r="CE77">
        <v>1</v>
      </c>
      <c r="CF77">
        <v>0</v>
      </c>
      <c r="CG77">
        <v>0</v>
      </c>
      <c r="CH77" t="s">
        <v>152</v>
      </c>
      <c r="CI77">
        <v>116</v>
      </c>
      <c r="CJ77" t="s">
        <v>139</v>
      </c>
      <c r="CK77">
        <v>0</v>
      </c>
      <c r="CL77">
        <v>7</v>
      </c>
      <c r="CM77" t="s">
        <v>430</v>
      </c>
      <c r="CN77">
        <v>1.35E-2</v>
      </c>
      <c r="CO77">
        <v>2.62</v>
      </c>
      <c r="CP77">
        <v>0</v>
      </c>
      <c r="CQ77" t="s">
        <v>137</v>
      </c>
      <c r="CR77">
        <v>-0.01</v>
      </c>
      <c r="CS77">
        <v>-0.01</v>
      </c>
      <c r="CT77">
        <v>0</v>
      </c>
      <c r="CU77">
        <v>-0.01</v>
      </c>
      <c r="CV77">
        <v>1</v>
      </c>
      <c r="CW77" t="s">
        <v>137</v>
      </c>
      <c r="CX77" t="s">
        <v>137</v>
      </c>
      <c r="CY77">
        <v>6</v>
      </c>
      <c r="CZ77">
        <v>7.97</v>
      </c>
      <c r="DA77" t="s">
        <v>154</v>
      </c>
      <c r="DB77">
        <v>0</v>
      </c>
      <c r="DC77">
        <v>0</v>
      </c>
      <c r="DD77">
        <v>1</v>
      </c>
      <c r="DE77">
        <v>0</v>
      </c>
      <c r="DF77">
        <v>0</v>
      </c>
      <c r="DG77">
        <v>-7324179</v>
      </c>
      <c r="DH77">
        <v>-7.13</v>
      </c>
      <c r="DI77">
        <v>-13.14</v>
      </c>
      <c r="DJ77">
        <v>21561062</v>
      </c>
      <c r="DK77">
        <v>-28885241</v>
      </c>
      <c r="DL77">
        <v>33582188</v>
      </c>
      <c r="DM77">
        <v>334797440</v>
      </c>
      <c r="DN77">
        <v>-301215252</v>
      </c>
      <c r="DO77">
        <v>0.1</v>
      </c>
      <c r="DP77">
        <v>1.8</v>
      </c>
      <c r="DQ77">
        <v>1.6</v>
      </c>
      <c r="DR77" t="s">
        <v>137</v>
      </c>
      <c r="DS77">
        <v>6</v>
      </c>
      <c r="DT77">
        <v>7.97</v>
      </c>
      <c r="DU77" t="s">
        <v>137</v>
      </c>
      <c r="DV77">
        <v>15.11</v>
      </c>
      <c r="DW77" t="s">
        <v>137</v>
      </c>
      <c r="DX77">
        <v>4.1399999999999997</v>
      </c>
      <c r="DY77">
        <v>0</v>
      </c>
      <c r="DZ77">
        <v>23</v>
      </c>
      <c r="EA77">
        <v>15</v>
      </c>
      <c r="EB77">
        <v>1</v>
      </c>
      <c r="EC77">
        <v>38</v>
      </c>
      <c r="ED77">
        <v>0</v>
      </c>
    </row>
    <row r="78" spans="1:134" hidden="1" x14ac:dyDescent="0.2">
      <c r="A78" t="s">
        <v>431</v>
      </c>
      <c r="B78" t="s">
        <v>432</v>
      </c>
      <c r="C78" t="s">
        <v>186</v>
      </c>
      <c r="D78" t="s">
        <v>208</v>
      </c>
      <c r="E78">
        <v>461732960</v>
      </c>
      <c r="F78">
        <v>17.21</v>
      </c>
      <c r="G78">
        <v>17.3</v>
      </c>
      <c r="H78">
        <v>17.27</v>
      </c>
      <c r="I78">
        <v>17.25</v>
      </c>
      <c r="J78">
        <v>17.27</v>
      </c>
      <c r="K78">
        <v>17.28</v>
      </c>
      <c r="L78">
        <v>17.3</v>
      </c>
      <c r="M78">
        <v>17.3</v>
      </c>
      <c r="N78">
        <v>17.28</v>
      </c>
      <c r="O78">
        <v>17.260000000000002</v>
      </c>
      <c r="P78">
        <v>0.05</v>
      </c>
      <c r="Q78">
        <v>17.09</v>
      </c>
      <c r="R78">
        <v>17.52</v>
      </c>
      <c r="S78">
        <v>17.28</v>
      </c>
      <c r="T78">
        <v>0.1</v>
      </c>
      <c r="U78">
        <v>17.079999999999998</v>
      </c>
      <c r="V78">
        <v>17.12</v>
      </c>
      <c r="W78">
        <v>16.600000000000001</v>
      </c>
      <c r="X78">
        <v>16.05</v>
      </c>
      <c r="Y78">
        <v>17.399999999999999</v>
      </c>
      <c r="Z78">
        <v>17.649999999999999</v>
      </c>
      <c r="AA78">
        <v>18.04</v>
      </c>
      <c r="AB78">
        <v>281300</v>
      </c>
      <c r="AC78">
        <v>902100</v>
      </c>
      <c r="AD78">
        <v>774800</v>
      </c>
      <c r="AE78">
        <v>548800</v>
      </c>
      <c r="AF78">
        <v>267900</v>
      </c>
      <c r="AG78" s="2">
        <f>AVERAGE(AB78:AF78)</f>
        <v>554980</v>
      </c>
      <c r="AH78">
        <v>1</v>
      </c>
      <c r="AI78">
        <v>0</v>
      </c>
      <c r="AJ78">
        <v>1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11.51</v>
      </c>
      <c r="AT78">
        <v>19.079999999999998</v>
      </c>
      <c r="AU78">
        <v>76</v>
      </c>
      <c r="AV78">
        <v>24</v>
      </c>
      <c r="AW78">
        <v>0</v>
      </c>
      <c r="AX78">
        <v>0</v>
      </c>
      <c r="AY78">
        <v>60.8</v>
      </c>
      <c r="AZ78">
        <v>56.6</v>
      </c>
      <c r="BA78">
        <v>58.5</v>
      </c>
      <c r="BB78">
        <v>59.7</v>
      </c>
      <c r="BC78">
        <v>56.1</v>
      </c>
      <c r="BD78">
        <v>0</v>
      </c>
      <c r="BE78">
        <v>71.400000000000006</v>
      </c>
      <c r="BF78">
        <v>75</v>
      </c>
      <c r="BG78">
        <v>0</v>
      </c>
      <c r="BH78">
        <v>0</v>
      </c>
      <c r="BI78">
        <v>21.9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0</v>
      </c>
      <c r="BT78">
        <v>0</v>
      </c>
      <c r="BU78" t="s">
        <v>137</v>
      </c>
      <c r="BV78">
        <v>18.75</v>
      </c>
      <c r="BW78">
        <v>20.5</v>
      </c>
      <c r="BX78">
        <v>17</v>
      </c>
      <c r="BY78">
        <v>0</v>
      </c>
      <c r="BZ78">
        <v>1</v>
      </c>
      <c r="CA78">
        <v>0</v>
      </c>
      <c r="CB78">
        <v>0</v>
      </c>
      <c r="CC78">
        <v>0</v>
      </c>
      <c r="CD78">
        <v>1</v>
      </c>
      <c r="CE78">
        <v>1</v>
      </c>
      <c r="CF78">
        <v>0</v>
      </c>
      <c r="CG78">
        <v>0</v>
      </c>
      <c r="CH78" t="s">
        <v>152</v>
      </c>
      <c r="CI78">
        <v>8.6</v>
      </c>
      <c r="CJ78" t="s">
        <v>139</v>
      </c>
      <c r="CK78">
        <v>1</v>
      </c>
      <c r="CL78">
        <v>18.75</v>
      </c>
      <c r="CM78" t="s">
        <v>433</v>
      </c>
      <c r="CN78">
        <v>2.3800000000000002E-2</v>
      </c>
      <c r="CO78">
        <v>1.78</v>
      </c>
      <c r="CP78">
        <v>1</v>
      </c>
      <c r="CQ78" t="s">
        <v>137</v>
      </c>
      <c r="CR78">
        <v>0.27500000000000002</v>
      </c>
      <c r="CS78">
        <v>0.33</v>
      </c>
      <c r="CT78">
        <v>-5.4999999999999993E-2</v>
      </c>
      <c r="CU78">
        <v>0.27500000000000002</v>
      </c>
      <c r="CV78">
        <v>2</v>
      </c>
      <c r="CW78">
        <v>-8.3299999999999999E-2</v>
      </c>
      <c r="CX78">
        <v>-8.1099993999999995E-2</v>
      </c>
      <c r="CY78">
        <v>35.22</v>
      </c>
      <c r="CZ78">
        <v>12.11</v>
      </c>
      <c r="DA78" t="s">
        <v>265</v>
      </c>
      <c r="DB78">
        <v>0</v>
      </c>
      <c r="DC78">
        <v>0</v>
      </c>
      <c r="DD78">
        <v>0</v>
      </c>
      <c r="DE78">
        <v>2</v>
      </c>
      <c r="DF78">
        <v>0</v>
      </c>
      <c r="DG78">
        <v>26200000</v>
      </c>
      <c r="DH78">
        <v>5.67</v>
      </c>
      <c r="DI78">
        <v>7.26</v>
      </c>
      <c r="DJ78">
        <v>34000000</v>
      </c>
      <c r="DK78">
        <v>-7800000</v>
      </c>
      <c r="DL78">
        <v>11500000</v>
      </c>
      <c r="DM78">
        <v>69400000</v>
      </c>
      <c r="DN78">
        <v>-57900000</v>
      </c>
      <c r="DO78">
        <v>0.17</v>
      </c>
      <c r="DP78">
        <v>2.33</v>
      </c>
      <c r="DQ78">
        <v>0.96</v>
      </c>
      <c r="DR78">
        <v>1.7</v>
      </c>
      <c r="DS78">
        <v>35.22</v>
      </c>
      <c r="DT78">
        <v>12.11</v>
      </c>
      <c r="DU78">
        <v>1.7</v>
      </c>
      <c r="DV78">
        <v>11.4</v>
      </c>
      <c r="DW78">
        <v>17.62</v>
      </c>
      <c r="DX78">
        <v>0.23</v>
      </c>
      <c r="DY78">
        <v>0</v>
      </c>
      <c r="DZ78">
        <v>11</v>
      </c>
      <c r="EA78">
        <v>25</v>
      </c>
      <c r="EB78">
        <v>2</v>
      </c>
      <c r="EC78">
        <v>36</v>
      </c>
      <c r="ED78">
        <v>0</v>
      </c>
    </row>
    <row r="79" spans="1:134" hidden="1" x14ac:dyDescent="0.2">
      <c r="A79" s="2" t="s">
        <v>597</v>
      </c>
      <c r="B79" s="2" t="s">
        <v>598</v>
      </c>
      <c r="C79" s="2" t="s">
        <v>309</v>
      </c>
      <c r="D79" s="2" t="s">
        <v>413</v>
      </c>
      <c r="E79" s="2">
        <v>1990069888</v>
      </c>
      <c r="F79" s="2">
        <v>37.020000000000003</v>
      </c>
      <c r="G79" s="2">
        <v>35.43</v>
      </c>
      <c r="H79" s="2">
        <v>35.15</v>
      </c>
      <c r="I79" s="2">
        <v>34.51</v>
      </c>
      <c r="J79" s="2">
        <v>33.94</v>
      </c>
      <c r="K79" s="2">
        <v>33.85</v>
      </c>
      <c r="L79" s="2">
        <v>34.36</v>
      </c>
      <c r="M79" s="2">
        <v>34.130000000000003</v>
      </c>
      <c r="N79" s="2">
        <v>34.24</v>
      </c>
      <c r="O79" s="2">
        <v>34.43</v>
      </c>
      <c r="P79" s="2">
        <v>1.1299999999999999</v>
      </c>
      <c r="Q79" s="2">
        <v>33.69</v>
      </c>
      <c r="R79" s="2">
        <v>35.54</v>
      </c>
      <c r="S79" s="2">
        <v>34.42</v>
      </c>
      <c r="T79" s="2">
        <v>0</v>
      </c>
      <c r="U79" s="2">
        <v>35.58</v>
      </c>
      <c r="V79" s="2">
        <v>34.25</v>
      </c>
      <c r="W79" s="2">
        <v>33.659999999999997</v>
      </c>
      <c r="X79" s="2">
        <v>33.200000000000003</v>
      </c>
      <c r="Y79" s="2">
        <v>34.880000000000003</v>
      </c>
      <c r="Z79" s="2">
        <v>35.520000000000003</v>
      </c>
      <c r="AA79" s="2">
        <v>36.049999999999997</v>
      </c>
      <c r="AB79" s="2">
        <v>702300</v>
      </c>
      <c r="AC79" s="2">
        <v>619300</v>
      </c>
      <c r="AD79" s="2">
        <v>406400</v>
      </c>
      <c r="AE79" s="2">
        <v>350600</v>
      </c>
      <c r="AF79" s="2">
        <v>477700</v>
      </c>
      <c r="AG79" s="2">
        <f>AVERAGE(AB79:AF79)</f>
        <v>511260</v>
      </c>
      <c r="AH79" s="2">
        <v>0</v>
      </c>
      <c r="AI79" s="2">
        <v>0</v>
      </c>
      <c r="AJ79" s="2">
        <v>0</v>
      </c>
      <c r="AK79" s="2">
        <v>0</v>
      </c>
      <c r="AL79" s="2">
        <v>1</v>
      </c>
      <c r="AM79" s="2">
        <v>0</v>
      </c>
      <c r="AN79" s="2">
        <v>0</v>
      </c>
      <c r="AO79" s="2">
        <v>0</v>
      </c>
      <c r="AP79" s="2">
        <v>0</v>
      </c>
      <c r="AQ79" s="2">
        <v>1</v>
      </c>
      <c r="AR79" s="2">
        <v>0</v>
      </c>
      <c r="AS79" s="2">
        <v>24.45</v>
      </c>
      <c r="AT79" s="2">
        <v>39.32</v>
      </c>
      <c r="AU79" s="2">
        <v>67.099999999999994</v>
      </c>
      <c r="AV79" s="2">
        <v>32.9</v>
      </c>
      <c r="AW79" s="2">
        <v>0</v>
      </c>
      <c r="AX79" s="2">
        <v>1</v>
      </c>
      <c r="AY79" s="2">
        <v>41.6</v>
      </c>
      <c r="AZ79" s="2">
        <v>37.700000000000003</v>
      </c>
      <c r="BA79" s="2">
        <v>35.1</v>
      </c>
      <c r="BB79" s="2">
        <v>37.1</v>
      </c>
      <c r="BC79" s="2">
        <v>39.200000000000003</v>
      </c>
      <c r="BD79" s="2">
        <v>1</v>
      </c>
      <c r="BE79" s="2">
        <v>6.7</v>
      </c>
      <c r="BF79" s="2">
        <v>3</v>
      </c>
      <c r="BG79" s="2">
        <v>0</v>
      </c>
      <c r="BH79" s="2">
        <v>0</v>
      </c>
      <c r="BI79" s="2">
        <v>23.9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 t="s">
        <v>137</v>
      </c>
      <c r="BV79" s="2">
        <v>45.25</v>
      </c>
      <c r="BW79" s="2">
        <v>50</v>
      </c>
      <c r="BX79" s="2">
        <v>41</v>
      </c>
      <c r="BY79" s="2">
        <v>1</v>
      </c>
      <c r="BZ79" s="2">
        <v>2</v>
      </c>
      <c r="CA79" s="2">
        <v>0</v>
      </c>
      <c r="CB79" s="2">
        <v>0</v>
      </c>
      <c r="CC79" s="2">
        <v>0</v>
      </c>
      <c r="CD79" s="2">
        <v>3</v>
      </c>
      <c r="CE79" s="2">
        <v>3</v>
      </c>
      <c r="CF79" s="2">
        <v>0</v>
      </c>
      <c r="CG79" s="2">
        <v>0</v>
      </c>
      <c r="CH79" s="2" t="s">
        <v>152</v>
      </c>
      <c r="CI79" s="2">
        <v>31.4</v>
      </c>
      <c r="CJ79" s="2" t="s">
        <v>139</v>
      </c>
      <c r="CK79" s="2">
        <v>1</v>
      </c>
      <c r="CL79" s="2">
        <v>45.25</v>
      </c>
      <c r="CM79" s="2" t="s">
        <v>599</v>
      </c>
      <c r="CN79" s="2">
        <v>0.1089</v>
      </c>
      <c r="CO79" s="2">
        <v>9.4</v>
      </c>
      <c r="CP79" s="2">
        <v>2</v>
      </c>
      <c r="CQ79" s="2" t="s">
        <v>137</v>
      </c>
      <c r="CR79" s="2">
        <v>0.61750000000000005</v>
      </c>
      <c r="CS79" s="2">
        <v>0.62073999999999996</v>
      </c>
      <c r="CT79" s="2">
        <v>-3.2399999999999101E-3</v>
      </c>
      <c r="CU79" s="2">
        <v>0.61750000000000005</v>
      </c>
      <c r="CV79" s="2">
        <v>4</v>
      </c>
      <c r="CW79" s="2">
        <v>1.23000005E-2</v>
      </c>
      <c r="CX79" s="2">
        <v>0.22549999000000001</v>
      </c>
      <c r="CY79" s="2">
        <v>13.94</v>
      </c>
      <c r="CZ79" s="2">
        <v>14.23</v>
      </c>
      <c r="DA79" s="2" t="s">
        <v>419</v>
      </c>
      <c r="DB79" s="2">
        <v>1</v>
      </c>
      <c r="DC79" s="2">
        <v>1</v>
      </c>
      <c r="DD79" s="2">
        <v>1.5</v>
      </c>
      <c r="DE79" s="2">
        <v>0</v>
      </c>
      <c r="DF79" s="2">
        <v>0</v>
      </c>
      <c r="DG79" s="2">
        <v>121714000</v>
      </c>
      <c r="DH79" s="2">
        <v>6.12</v>
      </c>
      <c r="DI79" s="2">
        <v>8.4499999999999993</v>
      </c>
      <c r="DJ79" s="2">
        <v>167906000</v>
      </c>
      <c r="DK79" s="2">
        <v>-46192000</v>
      </c>
      <c r="DL79" s="2">
        <v>81528000</v>
      </c>
      <c r="DM79" s="2">
        <v>290400992</v>
      </c>
      <c r="DN79" s="2">
        <v>-208872992</v>
      </c>
      <c r="DO79" s="2">
        <v>0.28000000000000003</v>
      </c>
      <c r="DP79" s="2">
        <v>2.5299999999999998</v>
      </c>
      <c r="DQ79" s="2">
        <v>1.18</v>
      </c>
      <c r="DR79" s="2">
        <v>0.93</v>
      </c>
      <c r="DS79" s="2">
        <v>13.94</v>
      </c>
      <c r="DT79" s="2">
        <v>14.23</v>
      </c>
      <c r="DU79" s="2">
        <v>0.93</v>
      </c>
      <c r="DV79" s="2">
        <v>9.5399999999999991</v>
      </c>
      <c r="DW79" s="2">
        <v>16.350000000000001</v>
      </c>
      <c r="DX79" s="2">
        <v>2.82</v>
      </c>
      <c r="DY79" s="2">
        <v>0</v>
      </c>
      <c r="DZ79" s="2">
        <v>39</v>
      </c>
      <c r="EA79" s="2">
        <v>30</v>
      </c>
      <c r="EB79" s="2">
        <v>3</v>
      </c>
      <c r="EC79" s="2">
        <v>69</v>
      </c>
      <c r="ED79" s="2">
        <v>1</v>
      </c>
    </row>
    <row r="80" spans="1:134" hidden="1" x14ac:dyDescent="0.2">
      <c r="A80" t="s">
        <v>218</v>
      </c>
      <c r="B80" t="s">
        <v>219</v>
      </c>
      <c r="C80" t="s">
        <v>180</v>
      </c>
      <c r="D80" t="s">
        <v>220</v>
      </c>
      <c r="E80">
        <v>626868032</v>
      </c>
      <c r="F80">
        <v>11.58</v>
      </c>
      <c r="G80">
        <v>11.25</v>
      </c>
      <c r="H80">
        <v>11.21</v>
      </c>
      <c r="I80">
        <v>11.22</v>
      </c>
      <c r="J80">
        <v>11.18</v>
      </c>
      <c r="K80">
        <v>11.41</v>
      </c>
      <c r="L80">
        <v>11.57</v>
      </c>
      <c r="M80">
        <v>11.61</v>
      </c>
      <c r="N80">
        <v>11.71</v>
      </c>
      <c r="O80">
        <v>11.71</v>
      </c>
      <c r="P80">
        <v>0.41</v>
      </c>
      <c r="Q80">
        <v>11.36</v>
      </c>
      <c r="R80">
        <v>12.24</v>
      </c>
      <c r="S80">
        <v>11.72</v>
      </c>
      <c r="T80">
        <v>0.1</v>
      </c>
      <c r="U80">
        <v>11.83</v>
      </c>
      <c r="V80">
        <v>11.56</v>
      </c>
      <c r="W80">
        <v>11.4</v>
      </c>
      <c r="X80">
        <v>11.19</v>
      </c>
      <c r="Y80">
        <v>12.43</v>
      </c>
      <c r="Z80">
        <v>12.6</v>
      </c>
      <c r="AA80">
        <v>13.1</v>
      </c>
      <c r="AB80">
        <v>493300</v>
      </c>
      <c r="AC80">
        <v>531800</v>
      </c>
      <c r="AD80">
        <v>534600</v>
      </c>
      <c r="AE80">
        <v>443200</v>
      </c>
      <c r="AF80">
        <v>457200</v>
      </c>
      <c r="AG80" s="2">
        <f>AVERAGE(AB80:AF80)</f>
        <v>492020</v>
      </c>
      <c r="AH80">
        <v>0</v>
      </c>
      <c r="AI80">
        <v>1</v>
      </c>
      <c r="AJ80">
        <v>1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7.58</v>
      </c>
      <c r="AT80">
        <v>13.59</v>
      </c>
      <c r="AU80">
        <v>68.7</v>
      </c>
      <c r="AV80">
        <v>31.3</v>
      </c>
      <c r="AW80">
        <v>0</v>
      </c>
      <c r="AX80">
        <v>1</v>
      </c>
      <c r="AY80">
        <v>40.6</v>
      </c>
      <c r="AZ80">
        <v>40.200000000000003</v>
      </c>
      <c r="BA80">
        <v>43.8</v>
      </c>
      <c r="BB80">
        <v>47.3</v>
      </c>
      <c r="BC80">
        <v>49.1</v>
      </c>
      <c r="BD80">
        <v>0</v>
      </c>
      <c r="BE80">
        <v>41.4</v>
      </c>
      <c r="BF80">
        <v>23.8</v>
      </c>
      <c r="BG80">
        <v>0</v>
      </c>
      <c r="BH80">
        <v>0</v>
      </c>
      <c r="BI80">
        <v>12.1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">
        <v>137</v>
      </c>
      <c r="BV80">
        <v>13.71429</v>
      </c>
      <c r="BW80">
        <v>17.5</v>
      </c>
      <c r="BX80">
        <v>11</v>
      </c>
      <c r="BY80">
        <v>1</v>
      </c>
      <c r="BZ80">
        <v>2</v>
      </c>
      <c r="CA80">
        <v>3</v>
      </c>
      <c r="CB80">
        <v>1</v>
      </c>
      <c r="CC80">
        <v>0</v>
      </c>
      <c r="CD80">
        <v>7</v>
      </c>
      <c r="CE80">
        <v>3</v>
      </c>
      <c r="CF80">
        <v>3</v>
      </c>
      <c r="CG80">
        <v>1</v>
      </c>
      <c r="CH80" t="s">
        <v>152</v>
      </c>
      <c r="CI80">
        <v>17.100000000000001</v>
      </c>
      <c r="CJ80" t="s">
        <v>139</v>
      </c>
      <c r="CK80">
        <v>0</v>
      </c>
      <c r="CL80">
        <v>13.08</v>
      </c>
      <c r="CM80" t="s">
        <v>221</v>
      </c>
      <c r="CN80">
        <v>0.16089999999999999</v>
      </c>
      <c r="CO80">
        <v>10.99</v>
      </c>
      <c r="CP80">
        <v>0</v>
      </c>
      <c r="CQ80" t="s">
        <v>137</v>
      </c>
      <c r="CR80">
        <v>0.57289999999999996</v>
      </c>
      <c r="CS80">
        <v>0.58098000000000005</v>
      </c>
      <c r="CT80">
        <v>-8.0800000000000871E-3</v>
      </c>
      <c r="CU80">
        <v>0.57289999999999996</v>
      </c>
      <c r="CV80">
        <v>5</v>
      </c>
      <c r="CW80">
        <v>0.19350000000000001</v>
      </c>
      <c r="CX80">
        <v>0.22799999000000001</v>
      </c>
      <c r="CY80">
        <v>20.54</v>
      </c>
      <c r="CZ80">
        <v>4.5199999999999996</v>
      </c>
      <c r="DA80" t="s">
        <v>148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125734000</v>
      </c>
      <c r="DH80">
        <v>20.059999999999999</v>
      </c>
      <c r="DI80">
        <v>17.329999999999998</v>
      </c>
      <c r="DJ80">
        <v>151639000</v>
      </c>
      <c r="DK80">
        <v>-25905000</v>
      </c>
      <c r="DL80">
        <v>33287000</v>
      </c>
      <c r="DM80">
        <v>447124992</v>
      </c>
      <c r="DN80">
        <v>-413837992</v>
      </c>
      <c r="DO80">
        <v>7.0000000000000007E-2</v>
      </c>
      <c r="DP80">
        <v>2</v>
      </c>
      <c r="DQ80">
        <v>1.81</v>
      </c>
      <c r="DR80">
        <v>2.35</v>
      </c>
      <c r="DS80">
        <v>20.54</v>
      </c>
      <c r="DT80">
        <v>4.5199999999999996</v>
      </c>
      <c r="DU80">
        <v>2.35</v>
      </c>
      <c r="DV80">
        <v>6.62</v>
      </c>
      <c r="DW80">
        <v>4.99</v>
      </c>
      <c r="DX80">
        <v>0</v>
      </c>
      <c r="DY80">
        <v>0</v>
      </c>
      <c r="DZ80">
        <v>39</v>
      </c>
      <c r="EA80">
        <v>25</v>
      </c>
      <c r="EB80">
        <v>2</v>
      </c>
      <c r="EC80">
        <v>64</v>
      </c>
      <c r="ED80">
        <v>0</v>
      </c>
    </row>
    <row r="81" spans="1:134" hidden="1" x14ac:dyDescent="0.2">
      <c r="A81" t="s">
        <v>383</v>
      </c>
      <c r="B81" t="s">
        <v>384</v>
      </c>
      <c r="C81" t="s">
        <v>309</v>
      </c>
      <c r="D81" t="s">
        <v>310</v>
      </c>
      <c r="E81">
        <v>353292960</v>
      </c>
      <c r="F81">
        <v>20.13</v>
      </c>
      <c r="G81">
        <v>19.84</v>
      </c>
      <c r="H81">
        <v>22.69</v>
      </c>
      <c r="I81">
        <v>21.74</v>
      </c>
      <c r="J81">
        <v>22.11</v>
      </c>
      <c r="K81">
        <v>22.77</v>
      </c>
      <c r="L81">
        <v>22.96</v>
      </c>
      <c r="M81">
        <v>24.08</v>
      </c>
      <c r="N81">
        <v>23.99</v>
      </c>
      <c r="O81">
        <v>23.77</v>
      </c>
      <c r="P81">
        <v>1.18</v>
      </c>
      <c r="Q81">
        <v>17.96</v>
      </c>
      <c r="R81">
        <v>32.49</v>
      </c>
      <c r="S81">
        <v>23.87</v>
      </c>
      <c r="T81">
        <v>0.4</v>
      </c>
      <c r="U81">
        <v>18.62</v>
      </c>
      <c r="V81">
        <v>18.55</v>
      </c>
      <c r="W81">
        <v>18.18</v>
      </c>
      <c r="X81">
        <v>17.350000000000001</v>
      </c>
      <c r="Y81" t="s">
        <v>137</v>
      </c>
      <c r="Z81" t="s">
        <v>137</v>
      </c>
      <c r="AA81" t="s">
        <v>137</v>
      </c>
      <c r="AB81">
        <v>84300</v>
      </c>
      <c r="AC81">
        <v>890600</v>
      </c>
      <c r="AD81">
        <v>320600</v>
      </c>
      <c r="AE81">
        <v>509300</v>
      </c>
      <c r="AF81">
        <v>210600</v>
      </c>
      <c r="AG81" s="2">
        <f>AVERAGE(AB81:AF81)</f>
        <v>403080</v>
      </c>
      <c r="AH81">
        <v>0</v>
      </c>
      <c r="AI81">
        <v>0</v>
      </c>
      <c r="AJ81">
        <v>1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1</v>
      </c>
      <c r="AS81">
        <v>11</v>
      </c>
      <c r="AT81">
        <v>24.08</v>
      </c>
      <c r="AU81">
        <v>97.6</v>
      </c>
      <c r="AV81">
        <v>2.4</v>
      </c>
      <c r="AW81">
        <v>0</v>
      </c>
      <c r="AX81">
        <v>0</v>
      </c>
      <c r="AY81">
        <v>59.9</v>
      </c>
      <c r="AZ81">
        <v>73.7</v>
      </c>
      <c r="BA81">
        <v>78.099999999999994</v>
      </c>
      <c r="BB81">
        <v>82.2</v>
      </c>
      <c r="BC81">
        <v>78.5</v>
      </c>
      <c r="BD81">
        <v>0</v>
      </c>
      <c r="BE81">
        <v>95.8</v>
      </c>
      <c r="BF81">
        <v>91.5</v>
      </c>
      <c r="BG81">
        <v>0</v>
      </c>
      <c r="BH81">
        <v>0</v>
      </c>
      <c r="BI81">
        <v>27.8</v>
      </c>
      <c r="BJ81">
        <v>1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2.2000000000000002</v>
      </c>
      <c r="BV81">
        <v>23.75</v>
      </c>
      <c r="BW81">
        <v>25</v>
      </c>
      <c r="BX81">
        <v>22</v>
      </c>
      <c r="BY81">
        <v>0</v>
      </c>
      <c r="BZ81">
        <v>2</v>
      </c>
      <c r="CA81">
        <v>3</v>
      </c>
      <c r="CB81">
        <v>0</v>
      </c>
      <c r="CC81">
        <v>0</v>
      </c>
      <c r="CD81">
        <v>5</v>
      </c>
      <c r="CE81">
        <v>2</v>
      </c>
      <c r="CF81">
        <v>3</v>
      </c>
      <c r="CG81">
        <v>0</v>
      </c>
      <c r="CH81" t="s">
        <v>138</v>
      </c>
      <c r="CI81">
        <v>-0.1</v>
      </c>
      <c r="CJ81" t="s">
        <v>139</v>
      </c>
      <c r="CK81">
        <v>1</v>
      </c>
      <c r="CL81">
        <v>23.75</v>
      </c>
      <c r="CM81" t="s">
        <v>385</v>
      </c>
      <c r="CN81">
        <v>0.1162</v>
      </c>
      <c r="CO81">
        <v>12.42</v>
      </c>
      <c r="CP81">
        <v>5</v>
      </c>
      <c r="CQ81" t="s">
        <v>137</v>
      </c>
      <c r="CR81">
        <v>0.57199999999999995</v>
      </c>
      <c r="CS81">
        <v>0.57199999999999995</v>
      </c>
      <c r="CT81">
        <v>0</v>
      </c>
      <c r="CU81">
        <v>0.57199999999999995</v>
      </c>
      <c r="CV81">
        <v>5</v>
      </c>
      <c r="CW81">
        <v>-0.29380000000000001</v>
      </c>
      <c r="CX81">
        <v>-8.77E-2</v>
      </c>
      <c r="CY81">
        <v>13.21</v>
      </c>
      <c r="CZ81">
        <v>9.56</v>
      </c>
      <c r="DA81" t="s">
        <v>386</v>
      </c>
      <c r="DB81">
        <v>0</v>
      </c>
      <c r="DC81">
        <v>0</v>
      </c>
      <c r="DD81">
        <v>0.5</v>
      </c>
      <c r="DE81">
        <v>0</v>
      </c>
      <c r="DF81">
        <v>0</v>
      </c>
      <c r="DG81">
        <v>23229000</v>
      </c>
      <c r="DH81">
        <v>6.57</v>
      </c>
      <c r="DI81">
        <v>3.95</v>
      </c>
      <c r="DJ81">
        <v>42144000</v>
      </c>
      <c r="DK81">
        <v>-18915000</v>
      </c>
      <c r="DL81">
        <v>76897000</v>
      </c>
      <c r="DM81">
        <v>219399008</v>
      </c>
      <c r="DN81">
        <v>-142502008</v>
      </c>
      <c r="DO81">
        <v>0.35</v>
      </c>
      <c r="DP81">
        <v>1.3</v>
      </c>
      <c r="DQ81">
        <v>0.69</v>
      </c>
      <c r="DR81" t="s">
        <v>137</v>
      </c>
      <c r="DS81">
        <v>13.21</v>
      </c>
      <c r="DT81">
        <v>9.56</v>
      </c>
      <c r="DU81" t="s">
        <v>137</v>
      </c>
      <c r="DV81">
        <v>8.7799999999999994</v>
      </c>
      <c r="DW81">
        <v>15.21</v>
      </c>
      <c r="DX81">
        <v>1.29</v>
      </c>
      <c r="DY81">
        <v>0</v>
      </c>
      <c r="DZ81">
        <v>38</v>
      </c>
      <c r="EA81">
        <v>20</v>
      </c>
      <c r="EB81">
        <v>2</v>
      </c>
      <c r="EC81">
        <v>58</v>
      </c>
      <c r="ED81">
        <v>0</v>
      </c>
    </row>
    <row r="82" spans="1:134" hidden="1" x14ac:dyDescent="0.2">
      <c r="A82" t="s">
        <v>446</v>
      </c>
      <c r="B82" t="s">
        <v>447</v>
      </c>
      <c r="C82" t="s">
        <v>186</v>
      </c>
      <c r="D82" t="s">
        <v>448</v>
      </c>
      <c r="E82">
        <v>622028416</v>
      </c>
      <c r="F82">
        <v>19.16</v>
      </c>
      <c r="G82">
        <v>19.420000000000002</v>
      </c>
      <c r="H82">
        <v>19.5</v>
      </c>
      <c r="I82">
        <v>19.98</v>
      </c>
      <c r="J82">
        <v>19.73</v>
      </c>
      <c r="K82">
        <v>19.350000000000001</v>
      </c>
      <c r="L82">
        <v>19.559999999999999</v>
      </c>
      <c r="M82">
        <v>19.809999999999999</v>
      </c>
      <c r="N82">
        <v>19.71</v>
      </c>
      <c r="O82">
        <v>19.53</v>
      </c>
      <c r="P82">
        <v>0.7</v>
      </c>
      <c r="Q82">
        <v>17.82</v>
      </c>
      <c r="R82">
        <v>22.1</v>
      </c>
      <c r="S82">
        <v>19.52</v>
      </c>
      <c r="T82">
        <v>0</v>
      </c>
      <c r="U82">
        <v>17.32</v>
      </c>
      <c r="V82">
        <v>18.170000000000002</v>
      </c>
      <c r="W82">
        <v>17.2</v>
      </c>
      <c r="X82">
        <v>16.649999999999999</v>
      </c>
      <c r="Y82">
        <v>19.61</v>
      </c>
      <c r="Z82">
        <v>20.149999999999999</v>
      </c>
      <c r="AA82" t="s">
        <v>137</v>
      </c>
      <c r="AB82">
        <v>187500</v>
      </c>
      <c r="AC82">
        <v>308400</v>
      </c>
      <c r="AD82">
        <v>298600</v>
      </c>
      <c r="AE82">
        <v>231100</v>
      </c>
      <c r="AF82">
        <v>218400</v>
      </c>
      <c r="AG82" s="2">
        <f>AVERAGE(AB82:AF82)</f>
        <v>248800</v>
      </c>
      <c r="AH82">
        <v>1</v>
      </c>
      <c r="AI82">
        <v>1</v>
      </c>
      <c r="AJ82">
        <v>0</v>
      </c>
      <c r="AK82">
        <v>1</v>
      </c>
      <c r="AL82">
        <v>0</v>
      </c>
      <c r="AM82">
        <v>1</v>
      </c>
      <c r="AN82">
        <v>1</v>
      </c>
      <c r="AO82">
        <v>0</v>
      </c>
      <c r="AP82">
        <v>1</v>
      </c>
      <c r="AQ82">
        <v>0</v>
      </c>
      <c r="AR82">
        <v>1</v>
      </c>
      <c r="AS82">
        <v>9.39</v>
      </c>
      <c r="AT82">
        <v>19.98</v>
      </c>
      <c r="AU82">
        <v>95.8</v>
      </c>
      <c r="AV82">
        <v>4.2</v>
      </c>
      <c r="AW82">
        <v>0</v>
      </c>
      <c r="AX82">
        <v>0</v>
      </c>
      <c r="AY82">
        <v>61.4</v>
      </c>
      <c r="AZ82">
        <v>65.2</v>
      </c>
      <c r="BA82">
        <v>58.2</v>
      </c>
      <c r="BB82">
        <v>61.5</v>
      </c>
      <c r="BC82">
        <v>58.5</v>
      </c>
      <c r="BD82">
        <v>0</v>
      </c>
      <c r="BE82">
        <v>35.9</v>
      </c>
      <c r="BF82">
        <v>42.8</v>
      </c>
      <c r="BG82">
        <v>0</v>
      </c>
      <c r="BH82">
        <v>0</v>
      </c>
      <c r="BI82">
        <v>35.4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 t="s">
        <v>137</v>
      </c>
      <c r="BV82">
        <v>23</v>
      </c>
      <c r="BW82">
        <v>24</v>
      </c>
      <c r="BX82">
        <v>22</v>
      </c>
      <c r="BY82">
        <v>0</v>
      </c>
      <c r="BZ82">
        <v>1</v>
      </c>
      <c r="CA82">
        <v>0</v>
      </c>
      <c r="CB82">
        <v>0</v>
      </c>
      <c r="CC82">
        <v>0</v>
      </c>
      <c r="CD82">
        <v>1</v>
      </c>
      <c r="CE82">
        <v>1</v>
      </c>
      <c r="CF82">
        <v>0</v>
      </c>
      <c r="CG82">
        <v>0</v>
      </c>
      <c r="CH82" t="s">
        <v>152</v>
      </c>
      <c r="CI82">
        <v>17.8</v>
      </c>
      <c r="CJ82" t="s">
        <v>139</v>
      </c>
      <c r="CK82">
        <v>0</v>
      </c>
      <c r="CL82">
        <v>22.75</v>
      </c>
      <c r="CM82" t="s">
        <v>449</v>
      </c>
      <c r="CN82">
        <v>8.8099999999999998E-2</v>
      </c>
      <c r="CO82">
        <v>4.74</v>
      </c>
      <c r="CP82">
        <v>0</v>
      </c>
      <c r="CQ82" t="s">
        <v>137</v>
      </c>
      <c r="CR82">
        <v>0.375</v>
      </c>
      <c r="CS82">
        <v>0.43</v>
      </c>
      <c r="CT82">
        <v>-5.4999999999999993E-2</v>
      </c>
      <c r="CU82">
        <v>0.375</v>
      </c>
      <c r="CV82">
        <v>2</v>
      </c>
      <c r="CW82">
        <v>-0.18479999999999999</v>
      </c>
      <c r="CX82">
        <v>0.16479999000000001</v>
      </c>
      <c r="CY82">
        <v>23.53</v>
      </c>
      <c r="CZ82">
        <v>15.44</v>
      </c>
      <c r="DA82" t="s">
        <v>244</v>
      </c>
      <c r="DB82">
        <v>0</v>
      </c>
      <c r="DC82">
        <v>0</v>
      </c>
      <c r="DD82">
        <v>0.5</v>
      </c>
      <c r="DE82">
        <v>0</v>
      </c>
      <c r="DF82">
        <v>0</v>
      </c>
      <c r="DG82">
        <v>3789000</v>
      </c>
      <c r="DH82">
        <v>0.61</v>
      </c>
      <c r="DI82">
        <v>0.51</v>
      </c>
      <c r="DJ82">
        <v>32981000</v>
      </c>
      <c r="DK82">
        <v>-29192000</v>
      </c>
      <c r="DL82">
        <v>21988000</v>
      </c>
      <c r="DM82">
        <v>245192992</v>
      </c>
      <c r="DN82">
        <v>-223204992</v>
      </c>
      <c r="DO82">
        <v>0.09</v>
      </c>
      <c r="DP82">
        <v>1.71</v>
      </c>
      <c r="DQ82">
        <v>1.44</v>
      </c>
      <c r="DR82">
        <v>0.98</v>
      </c>
      <c r="DS82">
        <v>23.53</v>
      </c>
      <c r="DT82">
        <v>15.44</v>
      </c>
      <c r="DU82">
        <v>0.98</v>
      </c>
      <c r="DV82">
        <v>9.73</v>
      </c>
      <c r="DW82">
        <v>164.17</v>
      </c>
      <c r="DX82">
        <v>2.25</v>
      </c>
      <c r="DY82">
        <v>0</v>
      </c>
      <c r="DZ82">
        <v>15</v>
      </c>
      <c r="EA82">
        <v>30</v>
      </c>
      <c r="EB82">
        <v>3</v>
      </c>
      <c r="EC82">
        <v>45</v>
      </c>
      <c r="ED82">
        <v>0</v>
      </c>
    </row>
    <row r="83" spans="1:134" hidden="1" x14ac:dyDescent="0.2">
      <c r="A83" s="2" t="s">
        <v>461</v>
      </c>
      <c r="B83" s="2" t="s">
        <v>462</v>
      </c>
      <c r="C83" s="2" t="s">
        <v>241</v>
      </c>
      <c r="D83" s="2" t="s">
        <v>275</v>
      </c>
      <c r="E83" s="2">
        <v>894645824</v>
      </c>
      <c r="F83" s="2">
        <v>12.86</v>
      </c>
      <c r="G83" s="2">
        <v>12.81</v>
      </c>
      <c r="H83" s="2">
        <v>12.62</v>
      </c>
      <c r="I83" s="2">
        <v>11.84</v>
      </c>
      <c r="J83" s="2">
        <v>11.8</v>
      </c>
      <c r="K83" s="2">
        <v>11.67</v>
      </c>
      <c r="L83" s="2">
        <v>11.83</v>
      </c>
      <c r="M83" s="2">
        <v>11.83</v>
      </c>
      <c r="N83" s="2">
        <v>11.89</v>
      </c>
      <c r="O83" s="2">
        <v>11.96</v>
      </c>
      <c r="P83" s="2">
        <v>0.68</v>
      </c>
      <c r="Q83" s="2">
        <v>11.26</v>
      </c>
      <c r="R83" s="2">
        <v>13.01</v>
      </c>
      <c r="S83" s="2">
        <v>11.94</v>
      </c>
      <c r="T83" s="2">
        <v>-0.2</v>
      </c>
      <c r="U83" s="2">
        <v>11.19</v>
      </c>
      <c r="V83" s="2">
        <v>11.6</v>
      </c>
      <c r="W83" s="2">
        <v>9.25</v>
      </c>
      <c r="X83" s="2">
        <v>8.8800000000000008</v>
      </c>
      <c r="Y83" s="2">
        <v>12.64</v>
      </c>
      <c r="Z83" s="2">
        <v>13.3</v>
      </c>
      <c r="AA83" s="2">
        <v>13.44</v>
      </c>
      <c r="AB83" s="2">
        <v>652800</v>
      </c>
      <c r="AC83" s="2">
        <v>775300</v>
      </c>
      <c r="AD83" s="2">
        <v>657700</v>
      </c>
      <c r="AE83" s="2">
        <v>1110900</v>
      </c>
      <c r="AF83" s="2">
        <v>527600</v>
      </c>
      <c r="AG83" s="2">
        <f>AVERAGE(AB83:AF83)</f>
        <v>744860</v>
      </c>
      <c r="AH83" s="2">
        <v>0</v>
      </c>
      <c r="AI83" s="2">
        <v>0</v>
      </c>
      <c r="AJ83" s="2">
        <v>0</v>
      </c>
      <c r="AK83" s="2">
        <v>0</v>
      </c>
      <c r="AL83" s="2">
        <v>1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1</v>
      </c>
      <c r="AS83" s="2">
        <v>7.78</v>
      </c>
      <c r="AT83" s="2">
        <v>20.350000000000001</v>
      </c>
      <c r="AU83" s="2">
        <v>33.299999999999997</v>
      </c>
      <c r="AV83" s="2">
        <v>66.7</v>
      </c>
      <c r="AW83" s="2">
        <v>0</v>
      </c>
      <c r="AX83" s="2">
        <v>1</v>
      </c>
      <c r="AY83" s="2">
        <v>57.3</v>
      </c>
      <c r="AZ83" s="2">
        <v>47</v>
      </c>
      <c r="BA83" s="2">
        <v>45.4</v>
      </c>
      <c r="BB83" s="2">
        <v>47.2</v>
      </c>
      <c r="BC83" s="2">
        <v>48.6</v>
      </c>
      <c r="BD83" s="2">
        <v>1</v>
      </c>
      <c r="BE83" s="2">
        <v>5.2</v>
      </c>
      <c r="BF83" s="2">
        <v>2.7</v>
      </c>
      <c r="BG83" s="2">
        <v>0</v>
      </c>
      <c r="BH83" s="2">
        <v>0</v>
      </c>
      <c r="BI83" s="2">
        <v>23.6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 t="s">
        <v>137</v>
      </c>
      <c r="BV83" s="2">
        <v>18.100000000000001</v>
      </c>
      <c r="BW83" s="2">
        <v>22</v>
      </c>
      <c r="BX83" s="2">
        <v>13</v>
      </c>
      <c r="BY83" s="2">
        <v>3</v>
      </c>
      <c r="BZ83" s="2">
        <v>6</v>
      </c>
      <c r="CA83" s="2">
        <v>1</v>
      </c>
      <c r="CB83" s="2">
        <v>0</v>
      </c>
      <c r="CC83" s="2">
        <v>0</v>
      </c>
      <c r="CD83" s="2">
        <v>10</v>
      </c>
      <c r="CE83" s="2">
        <v>9</v>
      </c>
      <c r="CF83" s="2">
        <v>1</v>
      </c>
      <c r="CG83" s="2">
        <v>0</v>
      </c>
      <c r="CH83" s="2" t="s">
        <v>152</v>
      </c>
      <c r="CI83" s="2">
        <v>51.3</v>
      </c>
      <c r="CJ83" s="2" t="s">
        <v>139</v>
      </c>
      <c r="CK83" s="2">
        <v>0</v>
      </c>
      <c r="CL83" s="2">
        <v>18.100000000000001</v>
      </c>
      <c r="CM83" s="2" t="s">
        <v>463</v>
      </c>
      <c r="CN83" s="2">
        <v>9.2999999999999999E-2</v>
      </c>
      <c r="CO83" s="2">
        <v>3.64</v>
      </c>
      <c r="CP83" s="2">
        <v>0</v>
      </c>
      <c r="CQ83" s="2" t="s">
        <v>137</v>
      </c>
      <c r="CR83" s="2">
        <v>0.25448999999999999</v>
      </c>
      <c r="CS83" s="2">
        <v>0.23383999999999999</v>
      </c>
      <c r="CT83" s="2">
        <v>2.0650000000000002E-2</v>
      </c>
      <c r="CU83" s="2">
        <v>0.25448999999999999</v>
      </c>
      <c r="CV83" s="2">
        <v>2</v>
      </c>
      <c r="CW83" s="2">
        <v>0.72650002999999996</v>
      </c>
      <c r="CX83" s="2">
        <v>-0.25040000000000001</v>
      </c>
      <c r="CY83" s="2">
        <v>6.72</v>
      </c>
      <c r="CZ83" s="2">
        <v>9.16</v>
      </c>
      <c r="DA83" s="2" t="s">
        <v>201</v>
      </c>
      <c r="DB83" s="2">
        <v>1</v>
      </c>
      <c r="DC83" s="2">
        <v>0</v>
      </c>
      <c r="DD83" s="2">
        <v>1</v>
      </c>
      <c r="DE83" s="2">
        <v>0</v>
      </c>
      <c r="DF83" s="2">
        <v>0</v>
      </c>
      <c r="DG83" s="2">
        <v>43968000</v>
      </c>
      <c r="DH83" s="2">
        <v>4.91</v>
      </c>
      <c r="DI83" s="2">
        <v>14.03</v>
      </c>
      <c r="DJ83" s="2">
        <v>56471000</v>
      </c>
      <c r="DK83" s="2">
        <v>-12503000</v>
      </c>
      <c r="DL83" s="2">
        <v>237280992</v>
      </c>
      <c r="DM83" s="2" t="s">
        <v>137</v>
      </c>
      <c r="DN83" s="2" t="s">
        <v>137</v>
      </c>
      <c r="DO83" s="2" t="s">
        <v>137</v>
      </c>
      <c r="DP83" s="2">
        <v>4.8600000000000003</v>
      </c>
      <c r="DQ83" s="2">
        <v>4.68</v>
      </c>
      <c r="DR83" s="2" t="s">
        <v>137</v>
      </c>
      <c r="DS83" s="2">
        <v>6.72</v>
      </c>
      <c r="DT83" s="2">
        <v>9.16</v>
      </c>
      <c r="DU83" s="2" t="s">
        <v>137</v>
      </c>
      <c r="DV83" s="2">
        <v>13.44</v>
      </c>
      <c r="DW83" s="2">
        <v>20.350000000000001</v>
      </c>
      <c r="DX83" s="2">
        <v>6.64</v>
      </c>
      <c r="DY83" s="2">
        <v>0</v>
      </c>
      <c r="DZ83" s="2">
        <v>36</v>
      </c>
      <c r="EA83" s="2">
        <v>20</v>
      </c>
      <c r="EB83" s="2">
        <v>2</v>
      </c>
      <c r="EC83" s="2">
        <v>56</v>
      </c>
      <c r="ED83" s="2">
        <v>1</v>
      </c>
    </row>
    <row r="84" spans="1:134" hidden="1" x14ac:dyDescent="0.2">
      <c r="A84" t="s">
        <v>510</v>
      </c>
      <c r="B84" t="s">
        <v>511</v>
      </c>
      <c r="C84" t="s">
        <v>241</v>
      </c>
      <c r="D84" t="s">
        <v>275</v>
      </c>
      <c r="E84">
        <v>629555968</v>
      </c>
      <c r="F84">
        <v>23.21</v>
      </c>
      <c r="G84">
        <v>22.86</v>
      </c>
      <c r="H84">
        <v>22.86</v>
      </c>
      <c r="I84">
        <v>22.84</v>
      </c>
      <c r="J84">
        <v>22.85</v>
      </c>
      <c r="K84">
        <v>22.67</v>
      </c>
      <c r="L84">
        <v>22.75</v>
      </c>
      <c r="M84">
        <v>22.77</v>
      </c>
      <c r="N84">
        <v>23.2</v>
      </c>
      <c r="O84">
        <v>22.81</v>
      </c>
      <c r="P84">
        <v>1.39</v>
      </c>
      <c r="Q84">
        <v>21.41</v>
      </c>
      <c r="R84">
        <v>24.91</v>
      </c>
      <c r="S84">
        <v>22.81</v>
      </c>
      <c r="T84">
        <v>0</v>
      </c>
      <c r="U84">
        <v>21.27</v>
      </c>
      <c r="V84">
        <v>22.11</v>
      </c>
      <c r="W84">
        <v>21.52</v>
      </c>
      <c r="X84">
        <v>20.99</v>
      </c>
      <c r="Y84">
        <v>23.81</v>
      </c>
      <c r="Z84">
        <v>26.19</v>
      </c>
      <c r="AA84" t="s">
        <v>137</v>
      </c>
      <c r="AB84">
        <v>573800</v>
      </c>
      <c r="AC84">
        <v>352400</v>
      </c>
      <c r="AD84">
        <v>421600</v>
      </c>
      <c r="AE84">
        <v>435400</v>
      </c>
      <c r="AF84">
        <v>483800</v>
      </c>
      <c r="AG84" s="2">
        <f>AVERAGE(AB84:AF84)</f>
        <v>453400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10.58</v>
      </c>
      <c r="AT84">
        <v>23.38</v>
      </c>
      <c r="AU84">
        <v>95.5</v>
      </c>
      <c r="AV84">
        <v>4.5</v>
      </c>
      <c r="AW84">
        <v>1</v>
      </c>
      <c r="AX84">
        <v>1</v>
      </c>
      <c r="AY84">
        <v>57.9</v>
      </c>
      <c r="AZ84">
        <v>57.8</v>
      </c>
      <c r="BA84">
        <v>56.4</v>
      </c>
      <c r="BB84">
        <v>57.1</v>
      </c>
      <c r="BC84">
        <v>57.3</v>
      </c>
      <c r="BD84">
        <v>0</v>
      </c>
      <c r="BE84">
        <v>60.3</v>
      </c>
      <c r="BF84">
        <v>62.2</v>
      </c>
      <c r="BG84">
        <v>0</v>
      </c>
      <c r="BH84">
        <v>0</v>
      </c>
      <c r="BI84">
        <v>30.9</v>
      </c>
      <c r="BJ84">
        <v>1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 t="s">
        <v>137</v>
      </c>
      <c r="BV84">
        <v>26.6</v>
      </c>
      <c r="BW84">
        <v>30</v>
      </c>
      <c r="BX84">
        <v>24</v>
      </c>
      <c r="BY84">
        <v>0</v>
      </c>
      <c r="BZ84">
        <v>6</v>
      </c>
      <c r="CA84">
        <v>1</v>
      </c>
      <c r="CB84">
        <v>0</v>
      </c>
      <c r="CC84">
        <v>0</v>
      </c>
      <c r="CD84">
        <v>7</v>
      </c>
      <c r="CE84">
        <v>6</v>
      </c>
      <c r="CF84">
        <v>1</v>
      </c>
      <c r="CG84">
        <v>0</v>
      </c>
      <c r="CH84" t="s">
        <v>152</v>
      </c>
      <c r="CI84">
        <v>16.600000000000001</v>
      </c>
      <c r="CJ84" t="s">
        <v>139</v>
      </c>
      <c r="CK84">
        <v>1</v>
      </c>
      <c r="CL84">
        <v>26.6</v>
      </c>
      <c r="CM84" t="s">
        <v>238</v>
      </c>
      <c r="CN84">
        <v>6.0100003999999999E-2</v>
      </c>
      <c r="CO84">
        <v>3.55</v>
      </c>
      <c r="CP84">
        <v>6</v>
      </c>
      <c r="CQ84" t="s">
        <v>137</v>
      </c>
      <c r="CR84">
        <v>0.34428999999999998</v>
      </c>
      <c r="CS84">
        <v>0.31857000000000002</v>
      </c>
      <c r="CT84">
        <v>2.5719999999999969E-2</v>
      </c>
      <c r="CU84">
        <v>0.34428999999999998</v>
      </c>
      <c r="CV84">
        <v>7</v>
      </c>
      <c r="CW84">
        <v>0.27510000000000001</v>
      </c>
      <c r="CX84">
        <v>0.31730000000000003</v>
      </c>
      <c r="CY84">
        <v>58.49</v>
      </c>
      <c r="CZ84">
        <v>15.02</v>
      </c>
      <c r="DA84" t="s">
        <v>512</v>
      </c>
      <c r="DB84">
        <v>0</v>
      </c>
      <c r="DC84">
        <v>0</v>
      </c>
      <c r="DD84">
        <v>0.5</v>
      </c>
      <c r="DE84">
        <v>0</v>
      </c>
      <c r="DF84">
        <v>0</v>
      </c>
      <c r="DG84">
        <v>22098000</v>
      </c>
      <c r="DH84">
        <v>3.51</v>
      </c>
      <c r="DI84">
        <v>7.21</v>
      </c>
      <c r="DJ84">
        <v>27690000</v>
      </c>
      <c r="DK84">
        <v>-5592000</v>
      </c>
      <c r="DL84">
        <v>17532000</v>
      </c>
      <c r="DM84">
        <v>60839000</v>
      </c>
      <c r="DN84">
        <v>-43307000</v>
      </c>
      <c r="DO84">
        <v>0.28999999999999998</v>
      </c>
      <c r="DP84">
        <v>0.95</v>
      </c>
      <c r="DQ84">
        <v>0.4</v>
      </c>
      <c r="DR84" t="s">
        <v>137</v>
      </c>
      <c r="DS84">
        <v>58.49</v>
      </c>
      <c r="DT84">
        <v>15.02</v>
      </c>
      <c r="DU84" t="s">
        <v>137</v>
      </c>
      <c r="DV84">
        <v>24.86</v>
      </c>
      <c r="DW84">
        <v>28.49</v>
      </c>
      <c r="DX84">
        <v>0.22</v>
      </c>
      <c r="DY84">
        <v>0</v>
      </c>
      <c r="DZ84">
        <v>36</v>
      </c>
      <c r="EA84">
        <v>10</v>
      </c>
      <c r="EB84">
        <v>1</v>
      </c>
      <c r="EC84">
        <v>46</v>
      </c>
      <c r="ED84">
        <v>0</v>
      </c>
    </row>
    <row r="85" spans="1:134" hidden="1" x14ac:dyDescent="0.2">
      <c r="A85" t="s">
        <v>443</v>
      </c>
      <c r="B85" t="s">
        <v>444</v>
      </c>
      <c r="C85" t="s">
        <v>180</v>
      </c>
      <c r="D85" t="s">
        <v>220</v>
      </c>
      <c r="E85">
        <v>614518272</v>
      </c>
      <c r="F85">
        <v>11.92</v>
      </c>
      <c r="G85">
        <v>11.77</v>
      </c>
      <c r="H85">
        <v>12.01</v>
      </c>
      <c r="I85">
        <v>11.58</v>
      </c>
      <c r="J85">
        <v>11.81</v>
      </c>
      <c r="K85">
        <v>11.74</v>
      </c>
      <c r="L85">
        <v>11.79</v>
      </c>
      <c r="M85">
        <v>11.65</v>
      </c>
      <c r="N85">
        <v>11.65</v>
      </c>
      <c r="O85">
        <v>11.6</v>
      </c>
      <c r="P85">
        <v>0.52</v>
      </c>
      <c r="Q85">
        <v>10.93</v>
      </c>
      <c r="R85">
        <v>12.61</v>
      </c>
      <c r="S85">
        <v>11.57</v>
      </c>
      <c r="T85">
        <v>-0.3</v>
      </c>
      <c r="U85">
        <v>13.04</v>
      </c>
      <c r="V85">
        <v>11.19</v>
      </c>
      <c r="W85">
        <v>9.76</v>
      </c>
      <c r="X85">
        <v>8.15</v>
      </c>
      <c r="Y85">
        <v>12.92</v>
      </c>
      <c r="Z85">
        <v>13.67</v>
      </c>
      <c r="AA85">
        <v>13.92</v>
      </c>
      <c r="AB85">
        <v>417900</v>
      </c>
      <c r="AC85">
        <v>831300</v>
      </c>
      <c r="AD85">
        <v>412600</v>
      </c>
      <c r="AE85">
        <v>954800</v>
      </c>
      <c r="AF85">
        <v>1122800</v>
      </c>
      <c r="AG85" s="2">
        <f>AVERAGE(AB85:AF85)</f>
        <v>747880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7.17</v>
      </c>
      <c r="AT85">
        <v>14.27</v>
      </c>
      <c r="AU85">
        <v>62.4</v>
      </c>
      <c r="AV85">
        <v>37.6</v>
      </c>
      <c r="AW85">
        <v>1</v>
      </c>
      <c r="AX85">
        <v>0</v>
      </c>
      <c r="AY85">
        <v>37.200000000000003</v>
      </c>
      <c r="AZ85">
        <v>35.299999999999997</v>
      </c>
      <c r="BA85">
        <v>38.200000000000003</v>
      </c>
      <c r="BB85">
        <v>37.200000000000003</v>
      </c>
      <c r="BC85">
        <v>36.6</v>
      </c>
      <c r="BD85">
        <v>0</v>
      </c>
      <c r="BE85">
        <v>14.5</v>
      </c>
      <c r="BF85">
        <v>10.9</v>
      </c>
      <c r="BG85">
        <v>0</v>
      </c>
      <c r="BH85">
        <v>0</v>
      </c>
      <c r="BI85">
        <v>21.4</v>
      </c>
      <c r="BJ85">
        <v>0</v>
      </c>
      <c r="BK85">
        <v>0</v>
      </c>
      <c r="BL85">
        <v>0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 t="s">
        <v>137</v>
      </c>
      <c r="BV85">
        <v>15.428570000000001</v>
      </c>
      <c r="BW85">
        <v>19</v>
      </c>
      <c r="BX85">
        <v>11</v>
      </c>
      <c r="BY85">
        <v>2</v>
      </c>
      <c r="BZ85">
        <v>3</v>
      </c>
      <c r="CA85">
        <v>3</v>
      </c>
      <c r="CB85">
        <v>0</v>
      </c>
      <c r="CC85">
        <v>0</v>
      </c>
      <c r="CD85">
        <v>8</v>
      </c>
      <c r="CE85">
        <v>5</v>
      </c>
      <c r="CF85">
        <v>3</v>
      </c>
      <c r="CG85">
        <v>0</v>
      </c>
      <c r="CH85" t="s">
        <v>152</v>
      </c>
      <c r="CI85">
        <v>33</v>
      </c>
      <c r="CJ85" t="s">
        <v>139</v>
      </c>
      <c r="CK85">
        <v>1</v>
      </c>
      <c r="CL85">
        <v>15.62</v>
      </c>
      <c r="CM85" t="s">
        <v>445</v>
      </c>
      <c r="CN85">
        <v>0.104499996</v>
      </c>
      <c r="CO85">
        <v>4.53</v>
      </c>
      <c r="CP85">
        <v>2</v>
      </c>
      <c r="CQ85" t="s">
        <v>137</v>
      </c>
      <c r="CR85">
        <v>0.37957999999999997</v>
      </c>
      <c r="CS85">
        <v>0.33500000000000002</v>
      </c>
      <c r="CT85">
        <v>4.4579999999999953E-2</v>
      </c>
      <c r="CU85">
        <v>0.37957999999999997</v>
      </c>
      <c r="CV85">
        <v>3</v>
      </c>
      <c r="CW85">
        <v>-6.0399998000000003E-2</v>
      </c>
      <c r="CX85">
        <v>-0.57499999999999996</v>
      </c>
      <c r="CY85">
        <v>7.16</v>
      </c>
      <c r="CZ85">
        <v>6.94</v>
      </c>
      <c r="DA85" t="s">
        <v>160</v>
      </c>
      <c r="DB85">
        <v>0</v>
      </c>
      <c r="DC85">
        <v>0</v>
      </c>
      <c r="DD85">
        <v>1</v>
      </c>
      <c r="DE85">
        <v>0</v>
      </c>
      <c r="DF85">
        <v>0</v>
      </c>
      <c r="DG85">
        <v>65258000</v>
      </c>
      <c r="DH85">
        <v>10.62</v>
      </c>
      <c r="DI85">
        <v>5.33</v>
      </c>
      <c r="DJ85">
        <v>65598000</v>
      </c>
      <c r="DK85">
        <v>-340000</v>
      </c>
      <c r="DL85">
        <v>23745000</v>
      </c>
      <c r="DM85">
        <v>176710000</v>
      </c>
      <c r="DN85">
        <v>-152965000</v>
      </c>
      <c r="DO85">
        <v>0.13</v>
      </c>
      <c r="DP85">
        <v>1.29</v>
      </c>
      <c r="DQ85">
        <v>1.24</v>
      </c>
      <c r="DR85" t="s">
        <v>137</v>
      </c>
      <c r="DS85">
        <v>7.16</v>
      </c>
      <c r="DT85">
        <v>6.94</v>
      </c>
      <c r="DU85" t="s">
        <v>137</v>
      </c>
      <c r="DV85">
        <v>8.43</v>
      </c>
      <c r="DW85">
        <v>9.42</v>
      </c>
      <c r="DX85">
        <v>1.44</v>
      </c>
      <c r="DY85">
        <v>0</v>
      </c>
      <c r="DZ85">
        <v>32</v>
      </c>
      <c r="EA85">
        <v>20</v>
      </c>
      <c r="EB85">
        <v>2</v>
      </c>
      <c r="EC85">
        <v>52</v>
      </c>
      <c r="ED85">
        <v>0</v>
      </c>
    </row>
    <row r="86" spans="1:134" hidden="1" x14ac:dyDescent="0.2">
      <c r="A86" s="2" t="s">
        <v>307</v>
      </c>
      <c r="B86" s="2" t="s">
        <v>308</v>
      </c>
      <c r="C86" s="2" t="s">
        <v>309</v>
      </c>
      <c r="D86" s="2" t="s">
        <v>310</v>
      </c>
      <c r="E86" s="2">
        <v>378380736</v>
      </c>
      <c r="F86" s="2">
        <v>35.94</v>
      </c>
      <c r="G86" s="2">
        <v>34.549999999999997</v>
      </c>
      <c r="H86" s="2">
        <v>34.369999999999997</v>
      </c>
      <c r="I86" s="2">
        <v>34.33</v>
      </c>
      <c r="J86" s="2">
        <v>33.770000000000003</v>
      </c>
      <c r="K86" s="2">
        <v>33.31</v>
      </c>
      <c r="L86" s="2">
        <v>33.81</v>
      </c>
      <c r="M86" s="2">
        <v>35.119999999999997</v>
      </c>
      <c r="N86" s="2">
        <v>34.83</v>
      </c>
      <c r="O86" s="2">
        <v>34.97</v>
      </c>
      <c r="P86" s="2">
        <v>1.72</v>
      </c>
      <c r="Q86" s="2">
        <v>33.44</v>
      </c>
      <c r="R86" s="2">
        <v>37.270000000000003</v>
      </c>
      <c r="S86" s="2">
        <v>35.1</v>
      </c>
      <c r="T86" s="2">
        <v>0.4</v>
      </c>
      <c r="U86" s="2">
        <v>35.549999999999997</v>
      </c>
      <c r="V86" s="2">
        <v>34.299999999999997</v>
      </c>
      <c r="W86" s="2">
        <v>33.72</v>
      </c>
      <c r="X86" s="2">
        <v>32.950000000000003</v>
      </c>
      <c r="Y86" s="2">
        <v>35.85</v>
      </c>
      <c r="Z86" s="2">
        <v>36.29</v>
      </c>
      <c r="AA86" s="2">
        <v>36.909999999999997</v>
      </c>
      <c r="AB86" s="2">
        <v>307000</v>
      </c>
      <c r="AC86" s="2">
        <v>220000</v>
      </c>
      <c r="AD86" s="2">
        <v>203600</v>
      </c>
      <c r="AE86" s="2">
        <v>262600</v>
      </c>
      <c r="AF86" s="2">
        <v>144400</v>
      </c>
      <c r="AG86" s="2">
        <f>AVERAGE(AB86:AF86)</f>
        <v>227520</v>
      </c>
      <c r="AH86" s="2">
        <v>0</v>
      </c>
      <c r="AI86" s="2">
        <v>0</v>
      </c>
      <c r="AJ86" s="2">
        <v>0</v>
      </c>
      <c r="AK86" s="2">
        <v>1</v>
      </c>
      <c r="AL86" s="2">
        <v>1</v>
      </c>
      <c r="AM86" s="2">
        <v>0</v>
      </c>
      <c r="AN86" s="2">
        <v>0</v>
      </c>
      <c r="AO86" s="2">
        <v>0</v>
      </c>
      <c r="AP86" s="2">
        <v>1</v>
      </c>
      <c r="AQ86" s="2">
        <v>0</v>
      </c>
      <c r="AR86" s="2">
        <v>0</v>
      </c>
      <c r="AS86" s="2">
        <v>21.95</v>
      </c>
      <c r="AT86" s="2">
        <v>42.72</v>
      </c>
      <c r="AU86" s="2">
        <v>62.7</v>
      </c>
      <c r="AV86" s="2">
        <v>37.299999999999997</v>
      </c>
      <c r="AW86" s="2">
        <v>0</v>
      </c>
      <c r="AX86" s="2">
        <v>0</v>
      </c>
      <c r="AY86" s="2">
        <v>48</v>
      </c>
      <c r="AZ86" s="2">
        <v>47</v>
      </c>
      <c r="BA86" s="2">
        <v>42.7</v>
      </c>
      <c r="BB86" s="2">
        <v>51.2</v>
      </c>
      <c r="BC86" s="2">
        <v>50.6</v>
      </c>
      <c r="BD86" s="2">
        <v>0</v>
      </c>
      <c r="BE86" s="2">
        <v>68.2</v>
      </c>
      <c r="BF86" s="2">
        <v>61.8</v>
      </c>
      <c r="BG86" s="2">
        <v>0</v>
      </c>
      <c r="BH86" s="2">
        <v>0</v>
      </c>
      <c r="BI86" s="2">
        <v>14.4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2.5</v>
      </c>
      <c r="BV86" s="2">
        <v>39.666670000000003</v>
      </c>
      <c r="BW86" s="2">
        <v>45</v>
      </c>
      <c r="BX86" s="2">
        <v>36</v>
      </c>
      <c r="BY86" s="2">
        <v>0</v>
      </c>
      <c r="BZ86" s="2">
        <v>1</v>
      </c>
      <c r="CA86" s="2">
        <v>3</v>
      </c>
      <c r="CB86" s="2">
        <v>0</v>
      </c>
      <c r="CC86" s="2">
        <v>0</v>
      </c>
      <c r="CD86" s="2">
        <v>4</v>
      </c>
      <c r="CE86" s="2">
        <v>1</v>
      </c>
      <c r="CF86" s="2">
        <v>3</v>
      </c>
      <c r="CG86" s="2">
        <v>0</v>
      </c>
      <c r="CH86" s="2" t="s">
        <v>138</v>
      </c>
      <c r="CI86" s="2">
        <v>13.4</v>
      </c>
      <c r="CJ86" s="2" t="s">
        <v>139</v>
      </c>
      <c r="CK86" s="2">
        <v>0</v>
      </c>
      <c r="CL86" s="2">
        <v>39.67</v>
      </c>
      <c r="CM86" s="2" t="s">
        <v>311</v>
      </c>
      <c r="CN86" s="2">
        <v>0.108500004</v>
      </c>
      <c r="CO86" s="2">
        <v>5.01</v>
      </c>
      <c r="CP86" s="2">
        <v>0</v>
      </c>
      <c r="CQ86" s="2" t="s">
        <v>137</v>
      </c>
      <c r="CR86" s="2">
        <v>0.92749999999999999</v>
      </c>
      <c r="CS86" s="2">
        <v>1.1924999999999999</v>
      </c>
      <c r="CT86" s="2">
        <v>-0.2649999999999999</v>
      </c>
      <c r="CU86" s="2">
        <v>0.92749999999999999</v>
      </c>
      <c r="CV86" s="2">
        <v>4</v>
      </c>
      <c r="CW86" s="2">
        <v>0.1741</v>
      </c>
      <c r="CX86" s="2">
        <v>0.62929999999999997</v>
      </c>
      <c r="CY86" s="2">
        <v>8.76</v>
      </c>
      <c r="CZ86" s="2">
        <v>11.85</v>
      </c>
      <c r="DA86" s="2" t="s">
        <v>312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83706000</v>
      </c>
      <c r="DH86" s="2">
        <v>22.12</v>
      </c>
      <c r="DI86" s="2">
        <v>3.44</v>
      </c>
      <c r="DJ86" s="2">
        <v>145760000</v>
      </c>
      <c r="DK86" s="2">
        <v>-62054000</v>
      </c>
      <c r="DL86" s="2">
        <v>57133000</v>
      </c>
      <c r="DM86" s="2">
        <v>583912000</v>
      </c>
      <c r="DN86" s="2">
        <v>-526779000</v>
      </c>
      <c r="DO86" s="2">
        <v>0.1</v>
      </c>
      <c r="DP86" s="2">
        <v>1.58</v>
      </c>
      <c r="DQ86" s="2">
        <v>0.23</v>
      </c>
      <c r="DR86" s="2">
        <v>0.68</v>
      </c>
      <c r="DS86" s="2">
        <v>8.76</v>
      </c>
      <c r="DT86" s="2">
        <v>11.85</v>
      </c>
      <c r="DU86" s="2">
        <v>0.68</v>
      </c>
      <c r="DV86" s="2">
        <v>11.61</v>
      </c>
      <c r="DW86" s="2">
        <v>4.5199999999999996</v>
      </c>
      <c r="DX86" s="2">
        <v>0.43</v>
      </c>
      <c r="DY86" s="2">
        <v>0</v>
      </c>
      <c r="DZ86" s="2">
        <v>30</v>
      </c>
      <c r="EA86" s="2">
        <v>30</v>
      </c>
      <c r="EB86" s="2">
        <v>3</v>
      </c>
      <c r="EC86" s="2">
        <v>60</v>
      </c>
      <c r="ED86" s="2">
        <v>0</v>
      </c>
    </row>
    <row r="87" spans="1:134" hidden="1" x14ac:dyDescent="0.2">
      <c r="A87" s="2" t="s">
        <v>464</v>
      </c>
      <c r="B87" s="2" t="s">
        <v>465</v>
      </c>
      <c r="C87" s="2" t="s">
        <v>309</v>
      </c>
      <c r="D87" s="2" t="s">
        <v>466</v>
      </c>
      <c r="E87" s="2">
        <v>742551424</v>
      </c>
      <c r="F87" s="2">
        <v>33.270000000000003</v>
      </c>
      <c r="G87" s="2">
        <v>33.049999999999997</v>
      </c>
      <c r="H87" s="2">
        <v>33.049999999999997</v>
      </c>
      <c r="I87" s="2">
        <v>32.659999999999997</v>
      </c>
      <c r="J87" s="2">
        <v>32.39</v>
      </c>
      <c r="K87" s="2">
        <v>32.54</v>
      </c>
      <c r="L87" s="2">
        <v>32.950000000000003</v>
      </c>
      <c r="M87" s="2">
        <v>32.75</v>
      </c>
      <c r="N87" s="2">
        <v>32.72</v>
      </c>
      <c r="O87" s="2">
        <v>33.28</v>
      </c>
      <c r="P87" s="2">
        <v>1.1299999999999999</v>
      </c>
      <c r="Q87" s="2">
        <v>32.6</v>
      </c>
      <c r="R87" s="2">
        <v>34.299999999999997</v>
      </c>
      <c r="S87" s="2">
        <v>33.26</v>
      </c>
      <c r="T87" s="2">
        <v>-0.1</v>
      </c>
      <c r="U87" s="2">
        <v>36.340000000000003</v>
      </c>
      <c r="V87" s="2">
        <v>33.159999999999997</v>
      </c>
      <c r="W87" s="2">
        <v>32.26</v>
      </c>
      <c r="X87" s="2">
        <v>26.12</v>
      </c>
      <c r="Y87" s="2">
        <v>34.590000000000003</v>
      </c>
      <c r="Z87" s="2">
        <v>36.31</v>
      </c>
      <c r="AA87" s="2">
        <v>36.950000000000003</v>
      </c>
      <c r="AB87" s="2">
        <v>231400</v>
      </c>
      <c r="AC87" s="2">
        <v>171200</v>
      </c>
      <c r="AD87" s="2">
        <v>184700</v>
      </c>
      <c r="AE87" s="2">
        <v>134400</v>
      </c>
      <c r="AF87" s="2">
        <v>147100</v>
      </c>
      <c r="AG87" s="2">
        <f>AVERAGE(AB87:AF87)</f>
        <v>173760</v>
      </c>
      <c r="AH87" s="2">
        <v>0</v>
      </c>
      <c r="AI87" s="2">
        <v>0</v>
      </c>
      <c r="AJ87" s="2">
        <v>1</v>
      </c>
      <c r="AK87" s="2">
        <v>0</v>
      </c>
      <c r="AL87" s="2">
        <v>1</v>
      </c>
      <c r="AM87" s="2">
        <v>0</v>
      </c>
      <c r="AN87" s="2">
        <v>0</v>
      </c>
      <c r="AO87" s="2">
        <v>0</v>
      </c>
      <c r="AP87" s="2">
        <v>0</v>
      </c>
      <c r="AQ87" s="2">
        <v>1</v>
      </c>
      <c r="AR87" s="2">
        <v>0</v>
      </c>
      <c r="AS87" s="2">
        <v>17.27</v>
      </c>
      <c r="AT87" s="2">
        <v>39.78</v>
      </c>
      <c r="AU87" s="2">
        <v>71.099999999999994</v>
      </c>
      <c r="AV87" s="2">
        <v>28.9</v>
      </c>
      <c r="AW87" s="2">
        <v>0</v>
      </c>
      <c r="AX87" s="2">
        <v>1</v>
      </c>
      <c r="AY87" s="2">
        <v>30.4</v>
      </c>
      <c r="AZ87" s="2">
        <v>28.4</v>
      </c>
      <c r="BA87" s="2">
        <v>27.8</v>
      </c>
      <c r="BB87" s="2">
        <v>30.6</v>
      </c>
      <c r="BC87" s="2">
        <v>37.1</v>
      </c>
      <c r="BD87" s="2">
        <v>0</v>
      </c>
      <c r="BE87" s="2">
        <v>38.700000000000003</v>
      </c>
      <c r="BF87" s="2">
        <v>15.9</v>
      </c>
      <c r="BG87" s="2">
        <v>0</v>
      </c>
      <c r="BH87" s="2">
        <v>0</v>
      </c>
      <c r="BI87" s="2">
        <v>22.2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1.5</v>
      </c>
      <c r="BV87" s="2">
        <v>47.5</v>
      </c>
      <c r="BW87" s="2">
        <v>50</v>
      </c>
      <c r="BX87" s="2">
        <v>45</v>
      </c>
      <c r="BY87" s="2">
        <v>1</v>
      </c>
      <c r="BZ87" s="2">
        <v>1</v>
      </c>
      <c r="CA87" s="2">
        <v>0</v>
      </c>
      <c r="CB87" s="2">
        <v>0</v>
      </c>
      <c r="CC87" s="2">
        <v>0</v>
      </c>
      <c r="CD87" s="2">
        <v>2</v>
      </c>
      <c r="CE87" s="2">
        <v>2</v>
      </c>
      <c r="CF87" s="2">
        <v>0</v>
      </c>
      <c r="CG87" s="2">
        <v>0</v>
      </c>
      <c r="CH87" s="2" t="s">
        <v>268</v>
      </c>
      <c r="CI87" s="2">
        <v>42.7</v>
      </c>
      <c r="CJ87" s="2" t="s">
        <v>237</v>
      </c>
      <c r="CK87" s="2">
        <v>0</v>
      </c>
      <c r="CL87" s="2">
        <v>47.5</v>
      </c>
      <c r="CM87" s="2" t="s">
        <v>467</v>
      </c>
      <c r="CN87" s="2">
        <v>7.6100000000000001E-2</v>
      </c>
      <c r="CO87" s="2">
        <v>6.02</v>
      </c>
      <c r="CP87" s="2">
        <v>0</v>
      </c>
      <c r="CQ87" s="2" t="s">
        <v>137</v>
      </c>
      <c r="CR87" s="2">
        <v>0.55200000000000005</v>
      </c>
      <c r="CS87" s="2">
        <v>0.63500000000000001</v>
      </c>
      <c r="CT87" s="2">
        <v>-8.2999999999999963E-2</v>
      </c>
      <c r="CU87" s="2">
        <v>0.55200000000000005</v>
      </c>
      <c r="CV87" s="2">
        <v>2</v>
      </c>
      <c r="CW87" s="2">
        <v>0.31430000000000002</v>
      </c>
      <c r="CX87" s="2">
        <v>0.65379995000000002</v>
      </c>
      <c r="CY87" s="2">
        <v>18.39</v>
      </c>
      <c r="CZ87" s="2" t="s">
        <v>137</v>
      </c>
      <c r="DA87" s="2" t="s">
        <v>468</v>
      </c>
      <c r="DB87" s="2">
        <v>0</v>
      </c>
      <c r="DC87" s="2">
        <v>1</v>
      </c>
      <c r="DD87" s="2">
        <v>0.5</v>
      </c>
      <c r="DE87" s="2">
        <v>0</v>
      </c>
      <c r="DF87" s="2">
        <v>0</v>
      </c>
      <c r="DG87" s="2">
        <v>53271000</v>
      </c>
      <c r="DH87" s="2">
        <v>7.17</v>
      </c>
      <c r="DI87" s="2">
        <v>7.72</v>
      </c>
      <c r="DJ87" s="2">
        <v>57921000</v>
      </c>
      <c r="DK87" s="2">
        <v>-4650000</v>
      </c>
      <c r="DL87" s="2">
        <v>212100992</v>
      </c>
      <c r="DM87" s="2">
        <v>68109000</v>
      </c>
      <c r="DN87" s="2">
        <v>143991992</v>
      </c>
      <c r="DO87" s="2">
        <v>3.11</v>
      </c>
      <c r="DP87" s="2">
        <v>4.26</v>
      </c>
      <c r="DQ87" s="2">
        <v>2.52</v>
      </c>
      <c r="DR87" s="2">
        <v>0.84</v>
      </c>
      <c r="DS87" s="2">
        <v>18.39</v>
      </c>
      <c r="DT87" s="2" t="s">
        <v>137</v>
      </c>
      <c r="DU87" s="2">
        <v>0.84</v>
      </c>
      <c r="DV87" s="2">
        <v>10.83</v>
      </c>
      <c r="DW87" s="2">
        <v>13.94</v>
      </c>
      <c r="DX87" s="2">
        <v>0</v>
      </c>
      <c r="DY87" s="2">
        <v>0</v>
      </c>
      <c r="DZ87" s="2">
        <v>36</v>
      </c>
      <c r="EA87" s="2">
        <v>20</v>
      </c>
      <c r="EB87" s="2">
        <v>2</v>
      </c>
      <c r="EC87" s="2">
        <v>56</v>
      </c>
      <c r="ED87" s="2">
        <v>0</v>
      </c>
    </row>
    <row r="88" spans="1:134" hidden="1" x14ac:dyDescent="0.2">
      <c r="A88" s="2" t="s">
        <v>469</v>
      </c>
      <c r="B88" s="2" t="s">
        <v>470</v>
      </c>
      <c r="C88" s="2" t="s">
        <v>135</v>
      </c>
      <c r="D88" s="2" t="s">
        <v>163</v>
      </c>
      <c r="E88" s="2">
        <v>940443200</v>
      </c>
      <c r="F88" s="2">
        <v>37.200000000000003</v>
      </c>
      <c r="G88" s="2">
        <v>36.92</v>
      </c>
      <c r="H88" s="2">
        <v>36.54</v>
      </c>
      <c r="I88" s="2">
        <v>36.69</v>
      </c>
      <c r="J88" s="2">
        <v>36.43</v>
      </c>
      <c r="K88" s="2">
        <v>37.01</v>
      </c>
      <c r="L88" s="2">
        <v>37.39</v>
      </c>
      <c r="M88" s="2">
        <v>37.07</v>
      </c>
      <c r="N88" s="2">
        <v>36.909999999999997</v>
      </c>
      <c r="O88" s="2">
        <v>37.119999999999997</v>
      </c>
      <c r="P88" s="2">
        <v>0.71</v>
      </c>
      <c r="Q88" s="2">
        <v>36.39</v>
      </c>
      <c r="R88" s="2">
        <v>38.21</v>
      </c>
      <c r="S88" s="2">
        <v>37.08</v>
      </c>
      <c r="T88" s="2">
        <v>-0.1</v>
      </c>
      <c r="U88" s="2">
        <v>36.81</v>
      </c>
      <c r="V88" s="2">
        <v>36.75</v>
      </c>
      <c r="W88" s="2">
        <v>36</v>
      </c>
      <c r="X88" s="2">
        <v>34.5</v>
      </c>
      <c r="Y88" s="2">
        <v>37.18</v>
      </c>
      <c r="Z88" s="2">
        <v>37.56</v>
      </c>
      <c r="AA88" s="2">
        <v>38</v>
      </c>
      <c r="AB88" s="2">
        <v>82300</v>
      </c>
      <c r="AC88" s="2">
        <v>120600</v>
      </c>
      <c r="AD88" s="2">
        <v>80200</v>
      </c>
      <c r="AE88" s="2">
        <v>77800</v>
      </c>
      <c r="AF88" s="2">
        <v>104900</v>
      </c>
      <c r="AG88" s="2">
        <f>AVERAGE(AB88:AF88)</f>
        <v>93160</v>
      </c>
      <c r="AH88" s="2">
        <v>0</v>
      </c>
      <c r="AI88" s="2">
        <v>1</v>
      </c>
      <c r="AJ88" s="2">
        <v>1</v>
      </c>
      <c r="AK88" s="2">
        <v>0</v>
      </c>
      <c r="AL88" s="2">
        <v>1</v>
      </c>
      <c r="AM88" s="2">
        <v>0</v>
      </c>
      <c r="AN88" s="2">
        <v>0</v>
      </c>
      <c r="AO88" s="2">
        <v>1</v>
      </c>
      <c r="AP88" s="2">
        <v>0</v>
      </c>
      <c r="AQ88" s="2">
        <v>1</v>
      </c>
      <c r="AR88" s="2">
        <v>1</v>
      </c>
      <c r="AS88" s="2">
        <v>26.74</v>
      </c>
      <c r="AT88" s="2">
        <v>38.54</v>
      </c>
      <c r="AU88" s="2">
        <v>88</v>
      </c>
      <c r="AV88" s="2">
        <v>12</v>
      </c>
      <c r="AW88" s="2">
        <v>0</v>
      </c>
      <c r="AX88" s="2">
        <v>1</v>
      </c>
      <c r="AY88" s="2">
        <v>49.1</v>
      </c>
      <c r="AZ88" s="2">
        <v>46.5</v>
      </c>
      <c r="BA88" s="2">
        <v>50.4</v>
      </c>
      <c r="BB88" s="2">
        <v>51.2</v>
      </c>
      <c r="BC88" s="2">
        <v>51.8</v>
      </c>
      <c r="BD88" s="2">
        <v>0</v>
      </c>
      <c r="BE88" s="2">
        <v>78</v>
      </c>
      <c r="BF88" s="2">
        <v>70.099999999999994</v>
      </c>
      <c r="BG88" s="2">
        <v>0</v>
      </c>
      <c r="BH88" s="2">
        <v>0</v>
      </c>
      <c r="BI88" s="2">
        <v>12.3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 t="s">
        <v>137</v>
      </c>
      <c r="BV88" s="2">
        <v>40.333329999999997</v>
      </c>
      <c r="BW88" s="2">
        <v>41</v>
      </c>
      <c r="BX88" s="2">
        <v>39</v>
      </c>
      <c r="BY88" s="2">
        <v>2</v>
      </c>
      <c r="BZ88" s="2">
        <v>1</v>
      </c>
      <c r="CA88" s="2">
        <v>0</v>
      </c>
      <c r="CB88" s="2">
        <v>0</v>
      </c>
      <c r="CC88" s="2">
        <v>0</v>
      </c>
      <c r="CD88" s="2">
        <v>3</v>
      </c>
      <c r="CE88" s="2">
        <v>3</v>
      </c>
      <c r="CF88" s="2">
        <v>0</v>
      </c>
      <c r="CG88" s="2">
        <v>0</v>
      </c>
      <c r="CH88" s="2" t="s">
        <v>152</v>
      </c>
      <c r="CI88" s="2">
        <v>8.6999999999999993</v>
      </c>
      <c r="CJ88" s="2" t="s">
        <v>139</v>
      </c>
      <c r="CK88" s="2">
        <v>1</v>
      </c>
      <c r="CL88" s="2">
        <v>40.33</v>
      </c>
      <c r="CM88" s="2" t="s">
        <v>164</v>
      </c>
      <c r="CN88" s="2">
        <v>2.6800001E-2</v>
      </c>
      <c r="CO88" s="2">
        <v>5.58</v>
      </c>
      <c r="CP88" s="2">
        <v>3</v>
      </c>
      <c r="CQ88" s="2" t="s">
        <v>137</v>
      </c>
      <c r="CR88" s="2">
        <v>0.91</v>
      </c>
      <c r="CS88" s="2">
        <v>0.82499999999999996</v>
      </c>
      <c r="CT88" s="2">
        <v>8.5000000000000075E-2</v>
      </c>
      <c r="CU88" s="2">
        <v>0.91</v>
      </c>
      <c r="CV88" s="2">
        <v>3</v>
      </c>
      <c r="CW88" s="2">
        <v>0.18180001000000001</v>
      </c>
      <c r="CX88" s="2">
        <v>0.10929999999999999</v>
      </c>
      <c r="CY88" s="2">
        <v>12.89</v>
      </c>
      <c r="CZ88" s="2">
        <v>9.6199999999999992</v>
      </c>
      <c r="DA88" s="2" t="s">
        <v>177</v>
      </c>
      <c r="DB88" s="2">
        <v>0</v>
      </c>
      <c r="DC88" s="2">
        <v>1</v>
      </c>
      <c r="DD88" s="2">
        <v>0.5</v>
      </c>
      <c r="DE88" s="2">
        <v>0</v>
      </c>
      <c r="DF88" s="2">
        <v>0</v>
      </c>
      <c r="DG88" s="2">
        <v>71801000</v>
      </c>
      <c r="DH88" s="2">
        <v>7.63</v>
      </c>
      <c r="DI88" s="2">
        <v>27.25</v>
      </c>
      <c r="DJ88" s="2">
        <v>80035000</v>
      </c>
      <c r="DK88" s="2">
        <v>-8234000</v>
      </c>
      <c r="DL88" s="2">
        <v>95761000</v>
      </c>
      <c r="DM88" s="2">
        <v>164242000</v>
      </c>
      <c r="DN88" s="2">
        <v>-68481000</v>
      </c>
      <c r="DO88" s="2">
        <v>0.57999999999999996</v>
      </c>
      <c r="DP88" s="2" t="s">
        <v>137</v>
      </c>
      <c r="DQ88" s="2" t="s">
        <v>137</v>
      </c>
      <c r="DR88" s="2">
        <v>12.66</v>
      </c>
      <c r="DS88" s="2">
        <v>12.89</v>
      </c>
      <c r="DT88" s="2">
        <v>9.6199999999999992</v>
      </c>
      <c r="DU88" s="2">
        <v>12.66</v>
      </c>
      <c r="DV88" s="2" t="s">
        <v>137</v>
      </c>
      <c r="DW88" s="2">
        <v>13.1</v>
      </c>
      <c r="DX88" s="2">
        <v>0</v>
      </c>
      <c r="DY88" s="2">
        <v>0</v>
      </c>
      <c r="DZ88" s="2">
        <v>42</v>
      </c>
      <c r="EA88" s="2">
        <v>10</v>
      </c>
      <c r="EB88" s="2">
        <v>1</v>
      </c>
      <c r="EC88" s="2">
        <v>52</v>
      </c>
      <c r="ED88" s="2">
        <v>0</v>
      </c>
    </row>
    <row r="89" spans="1:134" hidden="1" x14ac:dyDescent="0.2">
      <c r="A89" s="2" t="s">
        <v>471</v>
      </c>
      <c r="B89" s="2" t="s">
        <v>472</v>
      </c>
      <c r="C89" s="2" t="s">
        <v>135</v>
      </c>
      <c r="D89" s="2" t="s">
        <v>163</v>
      </c>
      <c r="E89" s="2">
        <v>406276864</v>
      </c>
      <c r="F89" s="2">
        <v>31.09</v>
      </c>
      <c r="G89" s="2">
        <v>30.59</v>
      </c>
      <c r="H89" s="2">
        <v>30.33</v>
      </c>
      <c r="I89" s="2">
        <v>30.64</v>
      </c>
      <c r="J89" s="2">
        <v>30.64</v>
      </c>
      <c r="K89" s="2">
        <v>31.32</v>
      </c>
      <c r="L89" s="2">
        <v>31.59</v>
      </c>
      <c r="M89" s="2">
        <v>31.33</v>
      </c>
      <c r="N89" s="2">
        <v>31.31</v>
      </c>
      <c r="O89" s="2">
        <v>31.38</v>
      </c>
      <c r="P89" s="2">
        <v>0.79</v>
      </c>
      <c r="Q89" s="2">
        <v>29.44</v>
      </c>
      <c r="R89" s="2">
        <v>34.29</v>
      </c>
      <c r="S89" s="2">
        <v>31.46</v>
      </c>
      <c r="T89" s="2">
        <v>0.3</v>
      </c>
      <c r="U89" s="2">
        <v>30.03</v>
      </c>
      <c r="V89" s="2">
        <v>29.84</v>
      </c>
      <c r="W89" s="2">
        <v>29.11</v>
      </c>
      <c r="X89" s="2">
        <v>27.74</v>
      </c>
      <c r="Y89" s="2">
        <v>31.38</v>
      </c>
      <c r="Z89" s="2">
        <v>31.99</v>
      </c>
      <c r="AA89" s="2" t="s">
        <v>137</v>
      </c>
      <c r="AB89" s="2">
        <v>53800</v>
      </c>
      <c r="AC89" s="2">
        <v>53600</v>
      </c>
      <c r="AD89" s="2">
        <v>32600</v>
      </c>
      <c r="AE89" s="2">
        <v>26700</v>
      </c>
      <c r="AF89" s="2">
        <v>57000</v>
      </c>
      <c r="AG89" s="2">
        <f>AVERAGE(AB89:AF89)</f>
        <v>44740</v>
      </c>
      <c r="AH89" s="2">
        <v>0</v>
      </c>
      <c r="AI89" s="2">
        <v>1</v>
      </c>
      <c r="AJ89" s="2">
        <v>1</v>
      </c>
      <c r="AK89" s="2">
        <v>0</v>
      </c>
      <c r="AL89" s="2">
        <v>1</v>
      </c>
      <c r="AM89" s="2">
        <v>0</v>
      </c>
      <c r="AN89" s="2">
        <v>1</v>
      </c>
      <c r="AO89" s="2">
        <v>1</v>
      </c>
      <c r="AP89" s="2">
        <v>0</v>
      </c>
      <c r="AQ89" s="2">
        <v>0</v>
      </c>
      <c r="AR89" s="2">
        <v>1</v>
      </c>
      <c r="AS89" s="2">
        <v>24.2</v>
      </c>
      <c r="AT89" s="2">
        <v>31.38</v>
      </c>
      <c r="AU89" s="2">
        <v>100</v>
      </c>
      <c r="AV89" s="2">
        <v>0</v>
      </c>
      <c r="AW89" s="2">
        <v>0</v>
      </c>
      <c r="AX89" s="2">
        <v>1</v>
      </c>
      <c r="AY89" s="2">
        <v>53.7</v>
      </c>
      <c r="AZ89" s="2">
        <v>54.3</v>
      </c>
      <c r="BA89" s="2">
        <v>61.6</v>
      </c>
      <c r="BB89" s="2">
        <v>61.7</v>
      </c>
      <c r="BC89" s="2">
        <v>62.2</v>
      </c>
      <c r="BD89" s="2">
        <v>0</v>
      </c>
      <c r="BE89" s="2">
        <v>87.9</v>
      </c>
      <c r="BF89" s="2">
        <v>70.099999999999994</v>
      </c>
      <c r="BG89" s="2">
        <v>0</v>
      </c>
      <c r="BH89" s="2">
        <v>0</v>
      </c>
      <c r="BI89" s="2">
        <v>13.7</v>
      </c>
      <c r="BJ89" s="2">
        <v>0</v>
      </c>
      <c r="BK89" s="2">
        <v>0</v>
      </c>
      <c r="BL89" s="2">
        <v>1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2</v>
      </c>
      <c r="BV89" s="2">
        <v>34</v>
      </c>
      <c r="BW89" s="2">
        <v>34</v>
      </c>
      <c r="BX89" s="2">
        <v>34</v>
      </c>
      <c r="BY89" s="2">
        <v>1</v>
      </c>
      <c r="BZ89" s="2">
        <v>1</v>
      </c>
      <c r="CA89" s="2">
        <v>1</v>
      </c>
      <c r="CB89" s="2">
        <v>0</v>
      </c>
      <c r="CC89" s="2">
        <v>0</v>
      </c>
      <c r="CD89" s="2">
        <v>3</v>
      </c>
      <c r="CE89" s="2">
        <v>2</v>
      </c>
      <c r="CF89" s="2">
        <v>1</v>
      </c>
      <c r="CG89" s="2">
        <v>0</v>
      </c>
      <c r="CH89" s="2" t="s">
        <v>138</v>
      </c>
      <c r="CI89" s="2">
        <v>8.3000000000000007</v>
      </c>
      <c r="CJ89" s="2" t="s">
        <v>139</v>
      </c>
      <c r="CK89" s="2">
        <v>1</v>
      </c>
      <c r="CL89" s="2">
        <v>34</v>
      </c>
      <c r="CM89" s="2" t="s">
        <v>473</v>
      </c>
      <c r="CN89" s="2">
        <v>2.9899999999999999E-2</v>
      </c>
      <c r="CO89" s="2">
        <v>5.08</v>
      </c>
      <c r="CP89" s="2">
        <v>1</v>
      </c>
      <c r="CQ89" s="2" t="s">
        <v>137</v>
      </c>
      <c r="CR89" s="2">
        <v>0.48332999999999998</v>
      </c>
      <c r="CS89" s="2">
        <v>0.42332999999999998</v>
      </c>
      <c r="CT89" s="2">
        <v>0.06</v>
      </c>
      <c r="CU89" s="2">
        <v>0.48332999999999998</v>
      </c>
      <c r="CV89" s="2">
        <v>3</v>
      </c>
      <c r="CW89" s="2">
        <v>-0.63380000000000003</v>
      </c>
      <c r="CX89" s="2">
        <v>14.926600000000001</v>
      </c>
      <c r="CY89" s="2">
        <v>10.6</v>
      </c>
      <c r="CZ89" s="2">
        <v>11.99</v>
      </c>
      <c r="DA89" s="2" t="s">
        <v>160</v>
      </c>
      <c r="DB89" s="2">
        <v>0</v>
      </c>
      <c r="DC89" s="2">
        <v>0</v>
      </c>
      <c r="DD89" s="2">
        <v>1</v>
      </c>
      <c r="DE89" s="2">
        <v>0</v>
      </c>
      <c r="DF89" s="2">
        <v>0</v>
      </c>
      <c r="DG89" s="2">
        <v>2113000</v>
      </c>
      <c r="DH89" s="2">
        <v>0.52</v>
      </c>
      <c r="DI89" s="2">
        <v>1.21</v>
      </c>
      <c r="DJ89" s="2">
        <v>4028000</v>
      </c>
      <c r="DK89" s="2">
        <v>-1915000</v>
      </c>
      <c r="DL89" s="2">
        <v>319899008</v>
      </c>
      <c r="DM89" s="2">
        <v>61010000</v>
      </c>
      <c r="DN89" s="2">
        <v>258889008</v>
      </c>
      <c r="DO89" s="2">
        <v>5.24</v>
      </c>
      <c r="DP89" s="2" t="s">
        <v>137</v>
      </c>
      <c r="DQ89" s="2" t="s">
        <v>137</v>
      </c>
      <c r="DR89" s="2" t="s">
        <v>137</v>
      </c>
      <c r="DS89" s="2">
        <v>10.6</v>
      </c>
      <c r="DT89" s="2">
        <v>11.99</v>
      </c>
      <c r="DU89" s="2" t="s">
        <v>137</v>
      </c>
      <c r="DV89" s="2" t="s">
        <v>137</v>
      </c>
      <c r="DW89" s="2">
        <v>192.27</v>
      </c>
      <c r="DX89" s="2">
        <v>0</v>
      </c>
      <c r="DY89" s="2">
        <v>0</v>
      </c>
      <c r="DZ89" s="2">
        <v>45</v>
      </c>
      <c r="EA89" s="2">
        <v>10</v>
      </c>
      <c r="EB89" s="2">
        <v>1</v>
      </c>
      <c r="EC89" s="2">
        <v>55</v>
      </c>
      <c r="ED89" s="2">
        <v>0</v>
      </c>
    </row>
    <row r="90" spans="1:134" hidden="1" x14ac:dyDescent="0.2">
      <c r="A90" t="s">
        <v>506</v>
      </c>
      <c r="B90" t="s">
        <v>507</v>
      </c>
      <c r="C90" t="s">
        <v>144</v>
      </c>
      <c r="D90" t="s">
        <v>508</v>
      </c>
      <c r="E90">
        <v>1263900032</v>
      </c>
      <c r="F90">
        <v>18.7</v>
      </c>
      <c r="G90">
        <v>19.12</v>
      </c>
      <c r="H90">
        <v>19.010000000000002</v>
      </c>
      <c r="I90">
        <v>19.39</v>
      </c>
      <c r="J90">
        <v>19.12</v>
      </c>
      <c r="K90">
        <v>18.59</v>
      </c>
      <c r="L90">
        <v>18.739999999999998</v>
      </c>
      <c r="M90">
        <v>18.28</v>
      </c>
      <c r="N90">
        <v>18.3</v>
      </c>
      <c r="O90">
        <v>17.46</v>
      </c>
      <c r="P90">
        <v>0.82</v>
      </c>
      <c r="Q90">
        <v>13.71</v>
      </c>
      <c r="R90">
        <v>23.08</v>
      </c>
      <c r="S90">
        <v>17.48</v>
      </c>
      <c r="T90">
        <v>0.1</v>
      </c>
      <c r="U90">
        <v>14.42</v>
      </c>
      <c r="V90">
        <v>14.12</v>
      </c>
      <c r="W90">
        <v>12.27</v>
      </c>
      <c r="X90">
        <v>11.41</v>
      </c>
      <c r="Y90">
        <v>18.14</v>
      </c>
      <c r="Z90">
        <v>19.559999999999999</v>
      </c>
      <c r="AA90" t="s">
        <v>137</v>
      </c>
      <c r="AB90">
        <v>1011000</v>
      </c>
      <c r="AC90">
        <v>1523100</v>
      </c>
      <c r="AD90">
        <v>1231800</v>
      </c>
      <c r="AE90">
        <v>1014200</v>
      </c>
      <c r="AF90">
        <v>1688000</v>
      </c>
      <c r="AG90" s="2">
        <f>AVERAGE(AB90:AF90)</f>
        <v>1293620</v>
      </c>
      <c r="AH90">
        <v>1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1</v>
      </c>
      <c r="AS90">
        <v>4.03</v>
      </c>
      <c r="AT90">
        <v>19.39</v>
      </c>
      <c r="AU90">
        <v>87.4</v>
      </c>
      <c r="AV90">
        <v>12.6</v>
      </c>
      <c r="AW90">
        <v>0</v>
      </c>
      <c r="AX90">
        <v>0</v>
      </c>
      <c r="AY90">
        <v>71</v>
      </c>
      <c r="AZ90">
        <v>72.400000000000006</v>
      </c>
      <c r="BA90">
        <v>62.8</v>
      </c>
      <c r="BB90">
        <v>59.4</v>
      </c>
      <c r="BC90">
        <v>51.7</v>
      </c>
      <c r="BD90">
        <v>0</v>
      </c>
      <c r="BE90">
        <v>0</v>
      </c>
      <c r="BF90">
        <v>3.9</v>
      </c>
      <c r="BG90">
        <v>0</v>
      </c>
      <c r="BH90">
        <v>0</v>
      </c>
      <c r="BI90">
        <v>45.8</v>
      </c>
      <c r="BJ90">
        <v>1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 t="s">
        <v>137</v>
      </c>
      <c r="BV90">
        <v>33</v>
      </c>
      <c r="BW90">
        <v>33</v>
      </c>
      <c r="BX90">
        <v>33</v>
      </c>
      <c r="BY90">
        <v>0</v>
      </c>
      <c r="BZ90">
        <v>1</v>
      </c>
      <c r="CA90">
        <v>2</v>
      </c>
      <c r="CB90">
        <v>0</v>
      </c>
      <c r="CC90">
        <v>0</v>
      </c>
      <c r="CD90">
        <v>3</v>
      </c>
      <c r="CE90">
        <v>1</v>
      </c>
      <c r="CF90">
        <v>2</v>
      </c>
      <c r="CG90">
        <v>0</v>
      </c>
      <c r="CH90" t="s">
        <v>152</v>
      </c>
      <c r="CI90">
        <v>89</v>
      </c>
      <c r="CJ90" t="s">
        <v>139</v>
      </c>
      <c r="CK90">
        <v>0</v>
      </c>
      <c r="CL90">
        <v>44</v>
      </c>
      <c r="CM90" t="s">
        <v>509</v>
      </c>
      <c r="CN90">
        <v>0.18270001</v>
      </c>
      <c r="CO90">
        <v>5.5</v>
      </c>
      <c r="CP90">
        <v>0</v>
      </c>
      <c r="CQ90" t="s">
        <v>137</v>
      </c>
      <c r="CR90">
        <v>-2.5000000000000001E-2</v>
      </c>
      <c r="CS90">
        <v>-0.27</v>
      </c>
      <c r="CT90">
        <v>0.245</v>
      </c>
      <c r="CU90">
        <v>-2.5000000000000001E-2</v>
      </c>
      <c r="CV90">
        <v>2</v>
      </c>
      <c r="CW90">
        <v>0.92190002999999998</v>
      </c>
      <c r="CX90">
        <v>-0.68569999999999998</v>
      </c>
      <c r="CY90">
        <v>10.58</v>
      </c>
      <c r="CZ90">
        <v>15.25</v>
      </c>
      <c r="DA90" t="s">
        <v>282</v>
      </c>
      <c r="DB90">
        <v>0</v>
      </c>
      <c r="DC90">
        <v>0</v>
      </c>
      <c r="DD90">
        <v>0.5</v>
      </c>
      <c r="DE90">
        <v>0</v>
      </c>
      <c r="DF90">
        <v>0</v>
      </c>
      <c r="DG90">
        <v>-116159000</v>
      </c>
      <c r="DH90">
        <v>-9.19</v>
      </c>
      <c r="DI90">
        <v>-302.32</v>
      </c>
      <c r="DJ90">
        <v>-116094000</v>
      </c>
      <c r="DK90">
        <v>-65000</v>
      </c>
      <c r="DL90">
        <v>131953000</v>
      </c>
      <c r="DM90">
        <v>296870016</v>
      </c>
      <c r="DN90">
        <v>-164917016</v>
      </c>
      <c r="DO90">
        <v>0.44</v>
      </c>
      <c r="DP90">
        <v>1.95</v>
      </c>
      <c r="DQ90">
        <v>1.61</v>
      </c>
      <c r="DR90">
        <v>0.81</v>
      </c>
      <c r="DS90">
        <v>10.58</v>
      </c>
      <c r="DT90">
        <v>15.25</v>
      </c>
      <c r="DU90">
        <v>0.81</v>
      </c>
      <c r="DV90">
        <v>-19.87</v>
      </c>
      <c r="DW90" t="s">
        <v>137</v>
      </c>
      <c r="DX90">
        <v>9.9499999999999993</v>
      </c>
      <c r="DY90">
        <v>0</v>
      </c>
      <c r="DZ90">
        <v>30</v>
      </c>
      <c r="EA90">
        <v>20</v>
      </c>
      <c r="EB90">
        <v>2</v>
      </c>
      <c r="EC90">
        <v>50</v>
      </c>
      <c r="ED90">
        <v>1</v>
      </c>
    </row>
    <row r="91" spans="1:134" hidden="1" x14ac:dyDescent="0.2">
      <c r="A91" t="s">
        <v>478</v>
      </c>
      <c r="B91" t="s">
        <v>479</v>
      </c>
      <c r="C91" t="s">
        <v>135</v>
      </c>
      <c r="D91" t="s">
        <v>163</v>
      </c>
      <c r="E91">
        <v>300277728</v>
      </c>
      <c r="F91">
        <v>31.37</v>
      </c>
      <c r="G91">
        <v>30.92</v>
      </c>
      <c r="H91">
        <v>30.68</v>
      </c>
      <c r="I91">
        <v>30.74</v>
      </c>
      <c r="J91">
        <v>33.19</v>
      </c>
      <c r="K91">
        <v>31</v>
      </c>
      <c r="L91">
        <v>31.35</v>
      </c>
      <c r="M91">
        <v>30.99</v>
      </c>
      <c r="N91">
        <v>31.03</v>
      </c>
      <c r="O91">
        <v>30.75</v>
      </c>
      <c r="P91">
        <v>0.75</v>
      </c>
      <c r="Q91">
        <v>29.92</v>
      </c>
      <c r="R91">
        <v>31.99</v>
      </c>
      <c r="S91">
        <v>30.73</v>
      </c>
      <c r="T91">
        <v>0</v>
      </c>
      <c r="U91">
        <v>31.75</v>
      </c>
      <c r="V91">
        <v>30.3</v>
      </c>
      <c r="W91">
        <v>29.61</v>
      </c>
      <c r="X91">
        <v>29.21</v>
      </c>
      <c r="Y91">
        <v>31.3</v>
      </c>
      <c r="Z91">
        <v>31.92</v>
      </c>
      <c r="AA91">
        <v>32.44</v>
      </c>
      <c r="AB91">
        <v>41600</v>
      </c>
      <c r="AC91">
        <v>87600</v>
      </c>
      <c r="AD91">
        <v>71700</v>
      </c>
      <c r="AE91">
        <v>62700</v>
      </c>
      <c r="AF91">
        <v>64300</v>
      </c>
      <c r="AG91" s="2">
        <f>AVERAGE(AB91:AF91)</f>
        <v>65580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22.06</v>
      </c>
      <c r="AT91">
        <v>34.19</v>
      </c>
      <c r="AU91">
        <v>71.599999999999994</v>
      </c>
      <c r="AV91">
        <v>28.4</v>
      </c>
      <c r="AW91">
        <v>0</v>
      </c>
      <c r="AX91">
        <v>0</v>
      </c>
      <c r="AY91">
        <v>46.1</v>
      </c>
      <c r="AZ91">
        <v>44.2</v>
      </c>
      <c r="BA91">
        <v>47.5</v>
      </c>
      <c r="BB91">
        <v>47.4</v>
      </c>
      <c r="BC91">
        <v>44.6</v>
      </c>
      <c r="BD91">
        <v>0</v>
      </c>
      <c r="BE91">
        <v>56.9</v>
      </c>
      <c r="BF91">
        <v>55</v>
      </c>
      <c r="BG91">
        <v>0</v>
      </c>
      <c r="BH91">
        <v>0</v>
      </c>
      <c r="BI91">
        <v>20.399999999999999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">
        <v>137</v>
      </c>
      <c r="BV91">
        <v>33</v>
      </c>
      <c r="BW91">
        <v>35</v>
      </c>
      <c r="BX91">
        <v>31</v>
      </c>
      <c r="BY91">
        <v>1</v>
      </c>
      <c r="BZ91">
        <v>0</v>
      </c>
      <c r="CA91">
        <v>1</v>
      </c>
      <c r="CB91">
        <v>0</v>
      </c>
      <c r="CC91">
        <v>0</v>
      </c>
      <c r="CD91">
        <v>2</v>
      </c>
      <c r="CE91">
        <v>1</v>
      </c>
      <c r="CF91">
        <v>1</v>
      </c>
      <c r="CG91">
        <v>0</v>
      </c>
      <c r="CH91" t="s">
        <v>152</v>
      </c>
      <c r="CI91">
        <v>7.3</v>
      </c>
      <c r="CJ91" t="s">
        <v>139</v>
      </c>
      <c r="CK91">
        <v>1</v>
      </c>
      <c r="CL91">
        <v>33</v>
      </c>
      <c r="CM91" t="s">
        <v>480</v>
      </c>
      <c r="CN91">
        <v>2.0599999000000001E-2</v>
      </c>
      <c r="CO91">
        <v>3.62</v>
      </c>
      <c r="CP91">
        <v>1</v>
      </c>
      <c r="CQ91" t="s">
        <v>137</v>
      </c>
      <c r="CR91">
        <v>0.60499999999999998</v>
      </c>
      <c r="CS91">
        <v>0.62</v>
      </c>
      <c r="CT91">
        <v>-1.500000000000001E-2</v>
      </c>
      <c r="CU91">
        <v>0.60499999999999998</v>
      </c>
      <c r="CV91">
        <v>2</v>
      </c>
      <c r="CW91">
        <v>0.89059997000000002</v>
      </c>
      <c r="CX91">
        <v>0.79630000000000001</v>
      </c>
      <c r="CY91">
        <v>16.53</v>
      </c>
      <c r="CZ91">
        <v>11.47</v>
      </c>
      <c r="DA91" t="s">
        <v>214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-5769000</v>
      </c>
      <c r="DH91">
        <v>-1.92</v>
      </c>
      <c r="DI91">
        <v>-5.41</v>
      </c>
      <c r="DJ91">
        <v>-1799000</v>
      </c>
      <c r="DK91">
        <v>-3970000</v>
      </c>
      <c r="DL91">
        <v>180336992</v>
      </c>
      <c r="DM91">
        <v>103792000</v>
      </c>
      <c r="DN91">
        <v>76544992</v>
      </c>
      <c r="DO91">
        <v>1.74</v>
      </c>
      <c r="DP91" t="s">
        <v>137</v>
      </c>
      <c r="DQ91" t="s">
        <v>137</v>
      </c>
      <c r="DR91" t="s">
        <v>137</v>
      </c>
      <c r="DS91">
        <v>16.53</v>
      </c>
      <c r="DT91">
        <v>11.47</v>
      </c>
      <c r="DU91" t="s">
        <v>137</v>
      </c>
      <c r="DV91" t="s">
        <v>137</v>
      </c>
      <c r="DW91" t="s">
        <v>137</v>
      </c>
      <c r="DX91">
        <v>0.81</v>
      </c>
      <c r="DY91">
        <v>0</v>
      </c>
      <c r="DZ91">
        <v>30</v>
      </c>
      <c r="EA91">
        <v>10</v>
      </c>
      <c r="EB91">
        <v>1</v>
      </c>
      <c r="EC91">
        <v>40</v>
      </c>
      <c r="ED91">
        <v>0</v>
      </c>
    </row>
    <row r="92" spans="1:134" hidden="1" x14ac:dyDescent="0.2">
      <c r="A92" s="2" t="s">
        <v>481</v>
      </c>
      <c r="B92" s="2" t="s">
        <v>482</v>
      </c>
      <c r="C92" s="2" t="s">
        <v>135</v>
      </c>
      <c r="D92" s="2" t="s">
        <v>163</v>
      </c>
      <c r="E92" s="2">
        <v>1003005184</v>
      </c>
      <c r="F92" s="2">
        <v>23.05</v>
      </c>
      <c r="G92" s="2">
        <v>23</v>
      </c>
      <c r="H92" s="2">
        <v>22.82</v>
      </c>
      <c r="I92" s="2">
        <v>22.88</v>
      </c>
      <c r="J92" s="2">
        <v>22.78</v>
      </c>
      <c r="K92" s="2">
        <v>22.86</v>
      </c>
      <c r="L92" s="2">
        <v>23.25</v>
      </c>
      <c r="M92" s="2">
        <v>22.79</v>
      </c>
      <c r="N92" s="2">
        <v>22.69</v>
      </c>
      <c r="O92" s="2">
        <v>22.89</v>
      </c>
      <c r="P92" s="2">
        <v>0.52</v>
      </c>
      <c r="Q92" s="2">
        <v>22.31</v>
      </c>
      <c r="R92" s="2">
        <v>23.76</v>
      </c>
      <c r="S92" s="2">
        <v>22.91</v>
      </c>
      <c r="T92" s="2">
        <v>0.1</v>
      </c>
      <c r="U92" s="2">
        <v>22.24</v>
      </c>
      <c r="V92" s="2">
        <v>22.57</v>
      </c>
      <c r="W92" s="2">
        <v>22.27</v>
      </c>
      <c r="X92" s="2">
        <v>21.43</v>
      </c>
      <c r="Y92" s="2">
        <v>23.31</v>
      </c>
      <c r="Z92" s="2" t="s">
        <v>137</v>
      </c>
      <c r="AA92" s="2" t="s">
        <v>137</v>
      </c>
      <c r="AB92" s="2">
        <v>306100</v>
      </c>
      <c r="AC92" s="2">
        <v>301800</v>
      </c>
      <c r="AD92" s="2">
        <v>200900</v>
      </c>
      <c r="AE92" s="2">
        <v>178700</v>
      </c>
      <c r="AF92" s="2">
        <v>265100</v>
      </c>
      <c r="AG92" s="2">
        <f>AVERAGE(AB92:AF92)</f>
        <v>250520</v>
      </c>
      <c r="AH92" s="2">
        <v>0</v>
      </c>
      <c r="AI92" s="2">
        <v>1</v>
      </c>
      <c r="AJ92" s="2">
        <v>1</v>
      </c>
      <c r="AK92" s="2">
        <v>0</v>
      </c>
      <c r="AL92" s="2">
        <v>1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1</v>
      </c>
      <c r="AS92" s="2">
        <v>16.87</v>
      </c>
      <c r="AT92" s="2">
        <v>23.32</v>
      </c>
      <c r="AU92" s="2">
        <v>93.3</v>
      </c>
      <c r="AV92" s="2">
        <v>6.7</v>
      </c>
      <c r="AW92" s="2">
        <v>0</v>
      </c>
      <c r="AX92" s="2">
        <v>0</v>
      </c>
      <c r="AY92" s="2">
        <v>59</v>
      </c>
      <c r="AZ92" s="2">
        <v>56.8</v>
      </c>
      <c r="BA92" s="2">
        <v>56.5</v>
      </c>
      <c r="BB92" s="2">
        <v>54.9</v>
      </c>
      <c r="BC92" s="2">
        <v>56.6</v>
      </c>
      <c r="BD92" s="2">
        <v>0</v>
      </c>
      <c r="BE92" s="2">
        <v>64.2</v>
      </c>
      <c r="BF92" s="2">
        <v>67.3</v>
      </c>
      <c r="BG92" s="2">
        <v>0</v>
      </c>
      <c r="BH92" s="2">
        <v>0</v>
      </c>
      <c r="BI92" s="2">
        <v>14.1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 t="s">
        <v>137</v>
      </c>
      <c r="BV92" s="2">
        <v>25.5</v>
      </c>
      <c r="BW92" s="2">
        <v>26</v>
      </c>
      <c r="BX92" s="2">
        <v>25</v>
      </c>
      <c r="BY92" s="2">
        <v>1</v>
      </c>
      <c r="BZ92" s="2">
        <v>0</v>
      </c>
      <c r="CA92" s="2">
        <v>1</v>
      </c>
      <c r="CB92" s="2">
        <v>0</v>
      </c>
      <c r="CC92" s="2">
        <v>0</v>
      </c>
      <c r="CD92" s="2">
        <v>2</v>
      </c>
      <c r="CE92" s="2">
        <v>1</v>
      </c>
      <c r="CF92" s="2">
        <v>1</v>
      </c>
      <c r="CG92" s="2">
        <v>0</v>
      </c>
      <c r="CH92" s="2" t="s">
        <v>152</v>
      </c>
      <c r="CI92" s="2">
        <v>11.4</v>
      </c>
      <c r="CJ92" s="2" t="s">
        <v>139</v>
      </c>
      <c r="CK92" s="2">
        <v>1</v>
      </c>
      <c r="CL92" s="2">
        <v>25.5</v>
      </c>
      <c r="CM92" s="2" t="s">
        <v>483</v>
      </c>
      <c r="CN92" s="2">
        <v>3.49E-2</v>
      </c>
      <c r="CO92" s="2">
        <v>4.47</v>
      </c>
      <c r="CP92" s="2">
        <v>1</v>
      </c>
      <c r="CQ92" s="2" t="s">
        <v>137</v>
      </c>
      <c r="CR92" s="2">
        <v>0.58499999999999996</v>
      </c>
      <c r="CS92" s="2">
        <v>0.53</v>
      </c>
      <c r="CT92" s="2">
        <v>5.4999999999999938E-2</v>
      </c>
      <c r="CU92" s="2">
        <v>0.58499999999999996</v>
      </c>
      <c r="CV92" s="2">
        <v>2</v>
      </c>
      <c r="CW92" s="2">
        <v>0.3</v>
      </c>
      <c r="CX92" s="2">
        <v>0.2485</v>
      </c>
      <c r="CY92" s="2">
        <v>15.06</v>
      </c>
      <c r="CZ92" s="2">
        <v>8.7899999999999991</v>
      </c>
      <c r="DA92" s="2" t="s">
        <v>177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57375000</v>
      </c>
      <c r="DH92" s="2">
        <v>5.72</v>
      </c>
      <c r="DI92" s="2">
        <v>23.02</v>
      </c>
      <c r="DJ92" s="2">
        <v>60792000</v>
      </c>
      <c r="DK92" s="2">
        <v>-3417000</v>
      </c>
      <c r="DL92" s="2">
        <v>419747008</v>
      </c>
      <c r="DM92" s="2">
        <v>204168000</v>
      </c>
      <c r="DN92" s="2">
        <v>215579008</v>
      </c>
      <c r="DO92" s="2">
        <v>2.06</v>
      </c>
      <c r="DP92" s="2" t="s">
        <v>137</v>
      </c>
      <c r="DQ92" s="2" t="s">
        <v>137</v>
      </c>
      <c r="DR92" s="2" t="s">
        <v>137</v>
      </c>
      <c r="DS92" s="2">
        <v>15.06</v>
      </c>
      <c r="DT92" s="2">
        <v>8.7899999999999991</v>
      </c>
      <c r="DU92" s="2" t="s">
        <v>137</v>
      </c>
      <c r="DV92" s="2" t="s">
        <v>137</v>
      </c>
      <c r="DW92" s="2">
        <v>17.48</v>
      </c>
      <c r="DX92" s="2">
        <v>0.46</v>
      </c>
      <c r="DY92" s="2">
        <v>0</v>
      </c>
      <c r="DZ92" s="2">
        <v>42</v>
      </c>
      <c r="EA92" s="2">
        <v>10</v>
      </c>
      <c r="EB92" s="2">
        <v>1</v>
      </c>
      <c r="EC92" s="2">
        <v>52</v>
      </c>
      <c r="ED92" s="2">
        <v>0</v>
      </c>
    </row>
    <row r="93" spans="1:134" hidden="1" x14ac:dyDescent="0.2">
      <c r="A93" t="s">
        <v>484</v>
      </c>
      <c r="B93" t="s">
        <v>485</v>
      </c>
      <c r="C93" t="s">
        <v>144</v>
      </c>
      <c r="D93" t="s">
        <v>486</v>
      </c>
      <c r="E93">
        <v>48110328</v>
      </c>
      <c r="F93">
        <v>4.22</v>
      </c>
      <c r="G93">
        <v>4.3600000000000003</v>
      </c>
      <c r="H93">
        <v>4.3600000000000003</v>
      </c>
      <c r="I93">
        <v>4.5199999999999996</v>
      </c>
      <c r="J93">
        <v>4.46</v>
      </c>
      <c r="K93">
        <v>4.5199999999999996</v>
      </c>
      <c r="L93">
        <v>4.4800000000000004</v>
      </c>
      <c r="M93">
        <v>4.47</v>
      </c>
      <c r="N93">
        <v>4.4800000000000004</v>
      </c>
      <c r="O93">
        <v>4.43</v>
      </c>
      <c r="P93">
        <v>0.35</v>
      </c>
      <c r="Q93">
        <v>3.85</v>
      </c>
      <c r="R93">
        <v>5.3</v>
      </c>
      <c r="S93">
        <v>4.42</v>
      </c>
      <c r="T93">
        <v>-0.3</v>
      </c>
      <c r="U93">
        <v>3.98</v>
      </c>
      <c r="V93">
        <v>4.0199999999999996</v>
      </c>
      <c r="W93">
        <v>3.78</v>
      </c>
      <c r="X93">
        <v>3.42</v>
      </c>
      <c r="Y93">
        <v>4.62</v>
      </c>
      <c r="Z93">
        <v>4.7</v>
      </c>
      <c r="AA93">
        <v>4.78</v>
      </c>
      <c r="AB93">
        <v>17800</v>
      </c>
      <c r="AC93">
        <v>35100</v>
      </c>
      <c r="AD93">
        <v>32000</v>
      </c>
      <c r="AE93">
        <v>41800</v>
      </c>
      <c r="AF93">
        <v>26000</v>
      </c>
      <c r="AG93" s="2">
        <f>AVERAGE(AB93:AF93)</f>
        <v>30540</v>
      </c>
      <c r="AH93">
        <v>1</v>
      </c>
      <c r="AI93">
        <v>1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2.78</v>
      </c>
      <c r="AT93">
        <v>5.79</v>
      </c>
      <c r="AU93">
        <v>54.8</v>
      </c>
      <c r="AV93">
        <v>45.2</v>
      </c>
      <c r="AW93">
        <v>0</v>
      </c>
      <c r="AX93">
        <v>0</v>
      </c>
      <c r="AY93">
        <v>54.2</v>
      </c>
      <c r="AZ93">
        <v>57</v>
      </c>
      <c r="BA93">
        <v>57</v>
      </c>
      <c r="BB93">
        <v>55.8</v>
      </c>
      <c r="BC93">
        <v>54.8</v>
      </c>
      <c r="BD93">
        <v>0</v>
      </c>
      <c r="BE93">
        <v>76.099999999999994</v>
      </c>
      <c r="BF93">
        <v>75.900000000000006</v>
      </c>
      <c r="BG93">
        <v>0</v>
      </c>
      <c r="BH93">
        <v>0</v>
      </c>
      <c r="BI93">
        <v>15.8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">
        <v>137</v>
      </c>
      <c r="BV93">
        <v>6.25</v>
      </c>
      <c r="BW93">
        <v>8</v>
      </c>
      <c r="BX93">
        <v>4.75</v>
      </c>
      <c r="BY93">
        <v>1</v>
      </c>
      <c r="BZ93">
        <v>1</v>
      </c>
      <c r="CA93">
        <v>1</v>
      </c>
      <c r="CB93">
        <v>0</v>
      </c>
      <c r="CC93">
        <v>0</v>
      </c>
      <c r="CD93">
        <v>3</v>
      </c>
      <c r="CE93">
        <v>2</v>
      </c>
      <c r="CF93">
        <v>1</v>
      </c>
      <c r="CG93">
        <v>0</v>
      </c>
      <c r="CH93" t="s">
        <v>152</v>
      </c>
      <c r="CI93">
        <v>41.1</v>
      </c>
      <c r="CJ93" t="s">
        <v>139</v>
      </c>
      <c r="CK93">
        <v>0</v>
      </c>
      <c r="CL93">
        <v>6.25</v>
      </c>
      <c r="CM93" t="s">
        <v>487</v>
      </c>
      <c r="CN93">
        <v>6.1000003000000001E-3</v>
      </c>
      <c r="CO93">
        <v>1.18</v>
      </c>
      <c r="CP93">
        <v>0</v>
      </c>
      <c r="CQ93" t="s">
        <v>137</v>
      </c>
      <c r="CR93">
        <v>0.03</v>
      </c>
      <c r="CS93">
        <v>0.02</v>
      </c>
      <c r="CT93">
        <v>9.9999999999999985E-3</v>
      </c>
      <c r="CU93">
        <v>0.03</v>
      </c>
      <c r="CV93">
        <v>1</v>
      </c>
      <c r="CW93">
        <v>0</v>
      </c>
      <c r="CX93">
        <v>0.54549999999999998</v>
      </c>
      <c r="CY93">
        <v>27.69</v>
      </c>
      <c r="CZ93">
        <v>21.1</v>
      </c>
      <c r="DA93" t="s">
        <v>148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1645000</v>
      </c>
      <c r="DH93">
        <v>3.42</v>
      </c>
      <c r="DI93">
        <v>7.94</v>
      </c>
      <c r="DJ93">
        <v>1645000</v>
      </c>
      <c r="DK93" t="s">
        <v>137</v>
      </c>
      <c r="DL93">
        <v>4697000</v>
      </c>
      <c r="DM93">
        <v>872000</v>
      </c>
      <c r="DN93">
        <v>3825000</v>
      </c>
      <c r="DO93">
        <v>5.39</v>
      </c>
      <c r="DP93">
        <v>4.07</v>
      </c>
      <c r="DQ93">
        <v>2.63</v>
      </c>
      <c r="DR93" t="s">
        <v>137</v>
      </c>
      <c r="DS93">
        <v>27.69</v>
      </c>
      <c r="DT93">
        <v>21.1</v>
      </c>
      <c r="DU93" t="s">
        <v>137</v>
      </c>
      <c r="DV93">
        <v>25.12</v>
      </c>
      <c r="DW93">
        <v>29.25</v>
      </c>
      <c r="DX93">
        <v>1.99</v>
      </c>
      <c r="DY93">
        <v>0</v>
      </c>
      <c r="DZ93">
        <v>42</v>
      </c>
      <c r="EA93">
        <v>10</v>
      </c>
      <c r="EB93">
        <v>1</v>
      </c>
      <c r="EC93">
        <v>52</v>
      </c>
      <c r="ED93">
        <v>0</v>
      </c>
    </row>
    <row r="94" spans="1:134" hidden="1" x14ac:dyDescent="0.2">
      <c r="A94" t="s">
        <v>488</v>
      </c>
      <c r="B94" t="s">
        <v>489</v>
      </c>
      <c r="C94" t="s">
        <v>135</v>
      </c>
      <c r="D94" t="s">
        <v>163</v>
      </c>
      <c r="E94">
        <v>580588416</v>
      </c>
      <c r="F94">
        <v>26.45</v>
      </c>
      <c r="G94">
        <v>26.03</v>
      </c>
      <c r="H94">
        <v>26.01</v>
      </c>
      <c r="I94">
        <v>26.04</v>
      </c>
      <c r="J94">
        <v>25.8</v>
      </c>
      <c r="K94">
        <v>26.05</v>
      </c>
      <c r="L94">
        <v>26.31</v>
      </c>
      <c r="M94">
        <v>26.16</v>
      </c>
      <c r="N94">
        <v>26.14</v>
      </c>
      <c r="O94">
        <v>26.1</v>
      </c>
      <c r="P94">
        <v>0.6</v>
      </c>
      <c r="Q94">
        <v>25.32</v>
      </c>
      <c r="R94">
        <v>27.27</v>
      </c>
      <c r="S94">
        <v>26.09</v>
      </c>
      <c r="T94">
        <v>0</v>
      </c>
      <c r="U94">
        <v>26.64</v>
      </c>
      <c r="V94">
        <v>25.62</v>
      </c>
      <c r="W94">
        <v>25.15</v>
      </c>
      <c r="X94">
        <v>24.59</v>
      </c>
      <c r="Y94">
        <v>26.4</v>
      </c>
      <c r="Z94">
        <v>27.4</v>
      </c>
      <c r="AA94">
        <v>27.85</v>
      </c>
      <c r="AB94">
        <v>188800</v>
      </c>
      <c r="AC94">
        <v>112500</v>
      </c>
      <c r="AD94">
        <v>156600</v>
      </c>
      <c r="AE94">
        <v>99900</v>
      </c>
      <c r="AF94">
        <v>202500</v>
      </c>
      <c r="AG94" s="2">
        <f>AVERAGE(AB94:AF94)</f>
        <v>152060</v>
      </c>
      <c r="AH94">
        <v>0</v>
      </c>
      <c r="AI94">
        <v>1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19.75</v>
      </c>
      <c r="AT94">
        <v>29.76</v>
      </c>
      <c r="AU94">
        <v>63.4</v>
      </c>
      <c r="AV94">
        <v>36.6</v>
      </c>
      <c r="AW94">
        <v>0</v>
      </c>
      <c r="AX94">
        <v>0</v>
      </c>
      <c r="AY94">
        <v>47.7</v>
      </c>
      <c r="AZ94">
        <v>47.9</v>
      </c>
      <c r="BA94">
        <v>48.1</v>
      </c>
      <c r="BB94">
        <v>49.9</v>
      </c>
      <c r="BC94">
        <v>48.9</v>
      </c>
      <c r="BD94">
        <v>0</v>
      </c>
      <c r="BE94">
        <v>73.2</v>
      </c>
      <c r="BF94">
        <v>70.599999999999994</v>
      </c>
      <c r="BG94">
        <v>0</v>
      </c>
      <c r="BH94">
        <v>0</v>
      </c>
      <c r="BI94">
        <v>15.8</v>
      </c>
      <c r="BJ94">
        <v>0</v>
      </c>
      <c r="BK94">
        <v>0</v>
      </c>
      <c r="BL94">
        <v>0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1.6666700000000001</v>
      </c>
      <c r="BV94">
        <v>30.33333</v>
      </c>
      <c r="BW94">
        <v>31</v>
      </c>
      <c r="BX94">
        <v>30</v>
      </c>
      <c r="BY94">
        <v>0</v>
      </c>
      <c r="BZ94">
        <v>2</v>
      </c>
      <c r="CA94">
        <v>1</v>
      </c>
      <c r="CB94">
        <v>0</v>
      </c>
      <c r="CC94">
        <v>0</v>
      </c>
      <c r="CD94">
        <v>3</v>
      </c>
      <c r="CE94">
        <v>2</v>
      </c>
      <c r="CF94">
        <v>1</v>
      </c>
      <c r="CG94">
        <v>0</v>
      </c>
      <c r="CH94" t="s">
        <v>138</v>
      </c>
      <c r="CI94">
        <v>16.2</v>
      </c>
      <c r="CJ94" t="s">
        <v>237</v>
      </c>
      <c r="CK94">
        <v>0</v>
      </c>
      <c r="CL94">
        <v>30.33</v>
      </c>
      <c r="CM94" t="s">
        <v>490</v>
      </c>
      <c r="CN94">
        <v>3.8399997999999998E-2</v>
      </c>
      <c r="CO94">
        <v>6.76</v>
      </c>
      <c r="CP94">
        <v>0</v>
      </c>
      <c r="CQ94" t="s">
        <v>137</v>
      </c>
      <c r="CR94">
        <v>0.7</v>
      </c>
      <c r="CS94">
        <v>0.68</v>
      </c>
      <c r="CT94">
        <v>1.999999999999991E-2</v>
      </c>
      <c r="CU94">
        <v>0.7</v>
      </c>
      <c r="CV94">
        <v>3</v>
      </c>
      <c r="CW94">
        <v>-1.17E-2</v>
      </c>
      <c r="CX94">
        <v>0.10780000000000001</v>
      </c>
      <c r="CY94">
        <v>8.59</v>
      </c>
      <c r="CZ94">
        <v>9.4499999999999993</v>
      </c>
      <c r="DA94" t="s">
        <v>160</v>
      </c>
      <c r="DB94">
        <v>0</v>
      </c>
      <c r="DC94">
        <v>0</v>
      </c>
      <c r="DD94">
        <v>1</v>
      </c>
      <c r="DE94">
        <v>0</v>
      </c>
      <c r="DF94">
        <v>0</v>
      </c>
      <c r="DG94">
        <v>133868000</v>
      </c>
      <c r="DH94">
        <v>23.06</v>
      </c>
      <c r="DI94">
        <v>62.05</v>
      </c>
      <c r="DJ94">
        <v>139337000</v>
      </c>
      <c r="DK94">
        <v>-5469000</v>
      </c>
      <c r="DL94">
        <v>183996000</v>
      </c>
      <c r="DM94">
        <v>101863000</v>
      </c>
      <c r="DN94">
        <v>82133000</v>
      </c>
      <c r="DO94">
        <v>1.81</v>
      </c>
      <c r="DP94" t="s">
        <v>137</v>
      </c>
      <c r="DQ94" t="s">
        <v>137</v>
      </c>
      <c r="DR94" t="s">
        <v>137</v>
      </c>
      <c r="DS94">
        <v>8.59</v>
      </c>
      <c r="DT94">
        <v>9.4499999999999993</v>
      </c>
      <c r="DU94" t="s">
        <v>137</v>
      </c>
      <c r="DV94" t="s">
        <v>137</v>
      </c>
      <c r="DW94">
        <v>4.34</v>
      </c>
      <c r="DX94">
        <v>0.23</v>
      </c>
      <c r="DY94">
        <v>0</v>
      </c>
      <c r="DZ94">
        <v>45</v>
      </c>
      <c r="EA94">
        <v>10</v>
      </c>
      <c r="EB94">
        <v>1</v>
      </c>
      <c r="EC94">
        <v>55</v>
      </c>
      <c r="ED94">
        <v>0</v>
      </c>
    </row>
    <row r="95" spans="1:134" hidden="1" x14ac:dyDescent="0.2">
      <c r="A95" s="2" t="s">
        <v>491</v>
      </c>
      <c r="B95" s="2" t="s">
        <v>492</v>
      </c>
      <c r="C95" s="2" t="s">
        <v>135</v>
      </c>
      <c r="D95" s="2" t="s">
        <v>163</v>
      </c>
      <c r="E95" s="2">
        <v>378847072</v>
      </c>
      <c r="F95" s="2">
        <v>34.47</v>
      </c>
      <c r="G95" s="2">
        <v>34.4</v>
      </c>
      <c r="H95" s="2">
        <v>34.119999999999997</v>
      </c>
      <c r="I95" s="2">
        <v>34.42</v>
      </c>
      <c r="J95" s="2">
        <v>34.22</v>
      </c>
      <c r="K95" s="2">
        <v>34.42</v>
      </c>
      <c r="L95" s="2">
        <v>34.51</v>
      </c>
      <c r="M95" s="2">
        <v>34.520000000000003</v>
      </c>
      <c r="N95" s="2">
        <v>34.61</v>
      </c>
      <c r="O95" s="2">
        <v>34.75</v>
      </c>
      <c r="P95" s="2">
        <v>0.68</v>
      </c>
      <c r="Q95" s="2">
        <v>33.380000000000003</v>
      </c>
      <c r="R95" s="2">
        <v>36.799999999999997</v>
      </c>
      <c r="S95" s="2">
        <v>34.25</v>
      </c>
      <c r="T95" s="2">
        <v>-1.4</v>
      </c>
      <c r="U95" s="2">
        <v>33.32</v>
      </c>
      <c r="V95" s="2">
        <v>33.72</v>
      </c>
      <c r="W95" s="2">
        <v>33.08</v>
      </c>
      <c r="X95" s="2">
        <v>30.41</v>
      </c>
      <c r="Y95" s="2">
        <v>34.9</v>
      </c>
      <c r="Z95" s="2">
        <v>35.47</v>
      </c>
      <c r="AA95" s="2" t="s">
        <v>137</v>
      </c>
      <c r="AB95" s="2">
        <v>28500</v>
      </c>
      <c r="AC95" s="2">
        <v>28300</v>
      </c>
      <c r="AD95" s="2">
        <v>18400</v>
      </c>
      <c r="AE95" s="2">
        <v>35400</v>
      </c>
      <c r="AF95" s="2">
        <v>27200</v>
      </c>
      <c r="AG95" s="2">
        <f>AVERAGE(AB95:AF95)</f>
        <v>27560</v>
      </c>
      <c r="AH95" s="2">
        <v>0</v>
      </c>
      <c r="AI95" s="2">
        <v>1</v>
      </c>
      <c r="AJ95" s="2">
        <v>1</v>
      </c>
      <c r="AK95" s="2">
        <v>1</v>
      </c>
      <c r="AL95" s="2">
        <v>1</v>
      </c>
      <c r="AM95" s="2">
        <v>0</v>
      </c>
      <c r="AN95" s="2">
        <v>0</v>
      </c>
      <c r="AO95" s="2">
        <v>1</v>
      </c>
      <c r="AP95" s="2">
        <v>0</v>
      </c>
      <c r="AQ95" s="2">
        <v>0</v>
      </c>
      <c r="AR95" s="2">
        <v>1</v>
      </c>
      <c r="AS95" s="2">
        <v>24.08</v>
      </c>
      <c r="AT95" s="2">
        <v>34.75</v>
      </c>
      <c r="AU95" s="2">
        <v>100</v>
      </c>
      <c r="AV95" s="2">
        <v>0</v>
      </c>
      <c r="AW95" s="2">
        <v>0</v>
      </c>
      <c r="AX95" s="2">
        <v>1</v>
      </c>
      <c r="AY95" s="2">
        <v>57.3</v>
      </c>
      <c r="AZ95" s="2">
        <v>57.5</v>
      </c>
      <c r="BA95" s="2">
        <v>57.5</v>
      </c>
      <c r="BB95" s="2">
        <v>58.9</v>
      </c>
      <c r="BC95" s="2">
        <v>61.9</v>
      </c>
      <c r="BD95" s="2">
        <v>0</v>
      </c>
      <c r="BE95" s="2">
        <v>73.7</v>
      </c>
      <c r="BF95" s="2">
        <v>63.6</v>
      </c>
      <c r="BG95" s="2">
        <v>0</v>
      </c>
      <c r="BH95" s="2">
        <v>0</v>
      </c>
      <c r="BI95" s="2">
        <v>12.9</v>
      </c>
      <c r="BJ95" s="2">
        <v>0</v>
      </c>
      <c r="BK95" s="2">
        <v>0</v>
      </c>
      <c r="BL95" s="2">
        <v>1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 t="s">
        <v>137</v>
      </c>
      <c r="BV95" s="2">
        <v>36.5</v>
      </c>
      <c r="BW95" s="2">
        <v>38</v>
      </c>
      <c r="BX95" s="2">
        <v>35</v>
      </c>
      <c r="BY95" s="2">
        <v>0</v>
      </c>
      <c r="BZ95" s="2">
        <v>1</v>
      </c>
      <c r="CA95" s="2">
        <v>1</v>
      </c>
      <c r="CB95" s="2">
        <v>0</v>
      </c>
      <c r="CC95" s="2">
        <v>0</v>
      </c>
      <c r="CD95" s="2">
        <v>2</v>
      </c>
      <c r="CE95" s="2">
        <v>1</v>
      </c>
      <c r="CF95" s="2">
        <v>1</v>
      </c>
      <c r="CG95" s="2">
        <v>0</v>
      </c>
      <c r="CH95" s="2" t="s">
        <v>152</v>
      </c>
      <c r="CI95" s="2">
        <v>5</v>
      </c>
      <c r="CJ95" s="2" t="s">
        <v>139</v>
      </c>
      <c r="CK95" s="2">
        <v>1</v>
      </c>
      <c r="CL95" s="2">
        <v>36.5</v>
      </c>
      <c r="CM95" s="2" t="s">
        <v>493</v>
      </c>
      <c r="CN95" s="2">
        <v>1.5299999999999999E-2</v>
      </c>
      <c r="CO95" s="2">
        <v>4.45</v>
      </c>
      <c r="CP95" s="2">
        <v>2</v>
      </c>
      <c r="CQ95" s="2" t="s">
        <v>137</v>
      </c>
      <c r="CR95" s="2">
        <v>0.95499999999999996</v>
      </c>
      <c r="CS95" s="2">
        <v>0.92</v>
      </c>
      <c r="CT95" s="2">
        <v>3.499999999999992E-2</v>
      </c>
      <c r="CU95" s="2">
        <v>0.95499999999999996</v>
      </c>
      <c r="CV95" s="2">
        <v>2</v>
      </c>
      <c r="CW95" s="2">
        <v>7.2999999999999995E-2</v>
      </c>
      <c r="CX95" s="2">
        <v>6.2700000000000006E-2</v>
      </c>
      <c r="CY95" s="2">
        <v>11.9</v>
      </c>
      <c r="CZ95" s="2">
        <v>9.0299999999999994</v>
      </c>
      <c r="DA95" s="2" t="s">
        <v>177</v>
      </c>
      <c r="DB95" s="2">
        <v>0</v>
      </c>
      <c r="DC95" s="2">
        <v>0</v>
      </c>
      <c r="DD95" s="2">
        <v>1</v>
      </c>
      <c r="DE95" s="2">
        <v>0</v>
      </c>
      <c r="DF95" s="2">
        <v>0</v>
      </c>
      <c r="DG95" s="2">
        <v>29247000</v>
      </c>
      <c r="DH95" s="2">
        <v>7.72</v>
      </c>
      <c r="DI95" s="2">
        <v>29.34</v>
      </c>
      <c r="DJ95" s="2">
        <v>33967000</v>
      </c>
      <c r="DK95" s="2">
        <v>-4720000</v>
      </c>
      <c r="DL95" s="2">
        <v>61092000</v>
      </c>
      <c r="DM95" s="2">
        <v>66316000</v>
      </c>
      <c r="DN95" s="2">
        <v>-5224000</v>
      </c>
      <c r="DO95" s="2">
        <v>0.92</v>
      </c>
      <c r="DP95" s="2" t="s">
        <v>137</v>
      </c>
      <c r="DQ95" s="2" t="s">
        <v>137</v>
      </c>
      <c r="DR95" s="2">
        <v>2.36</v>
      </c>
      <c r="DS95" s="2">
        <v>11.9</v>
      </c>
      <c r="DT95" s="2">
        <v>9.0299999999999994</v>
      </c>
      <c r="DU95" s="2">
        <v>2.36</v>
      </c>
      <c r="DV95" s="2" t="s">
        <v>137</v>
      </c>
      <c r="DW95" s="2">
        <v>12.95</v>
      </c>
      <c r="DX95" s="2">
        <v>0</v>
      </c>
      <c r="DY95" s="2">
        <v>0</v>
      </c>
      <c r="DZ95" s="2">
        <v>42</v>
      </c>
      <c r="EA95" s="2">
        <v>10</v>
      </c>
      <c r="EB95" s="2">
        <v>1</v>
      </c>
      <c r="EC95" s="2">
        <v>52</v>
      </c>
      <c r="ED95" s="2">
        <v>0</v>
      </c>
    </row>
    <row r="96" spans="1:134" hidden="1" x14ac:dyDescent="0.2">
      <c r="A96" s="2" t="s">
        <v>494</v>
      </c>
      <c r="B96" s="2" t="s">
        <v>495</v>
      </c>
      <c r="C96" s="2" t="s">
        <v>186</v>
      </c>
      <c r="D96" s="2" t="s">
        <v>496</v>
      </c>
      <c r="E96" s="2">
        <v>961433792</v>
      </c>
      <c r="F96" s="2">
        <v>22.9</v>
      </c>
      <c r="G96" s="2">
        <v>22.22</v>
      </c>
      <c r="H96" s="2">
        <v>22.12</v>
      </c>
      <c r="I96" s="2">
        <v>21.85</v>
      </c>
      <c r="J96" s="2">
        <v>21.36</v>
      </c>
      <c r="K96" s="2">
        <v>21.09</v>
      </c>
      <c r="L96" s="2">
        <v>21.79</v>
      </c>
      <c r="M96" s="2">
        <v>21.57</v>
      </c>
      <c r="N96" s="2">
        <v>20.7</v>
      </c>
      <c r="O96" s="2">
        <v>20.98</v>
      </c>
      <c r="P96" s="2">
        <v>1.17</v>
      </c>
      <c r="Q96" s="2">
        <v>19</v>
      </c>
      <c r="R96" s="2">
        <v>23.95</v>
      </c>
      <c r="S96" s="2">
        <v>20.98</v>
      </c>
      <c r="T96" s="2">
        <v>0</v>
      </c>
      <c r="U96" s="2">
        <v>19.46</v>
      </c>
      <c r="V96" s="2">
        <v>19.59</v>
      </c>
      <c r="W96" s="2">
        <v>17.45</v>
      </c>
      <c r="X96" s="2">
        <v>16.02</v>
      </c>
      <c r="Y96" s="2">
        <v>21.01</v>
      </c>
      <c r="Z96" s="2">
        <v>22.07</v>
      </c>
      <c r="AA96" s="2">
        <v>23.33</v>
      </c>
      <c r="AB96" s="2">
        <v>894100</v>
      </c>
      <c r="AC96" s="2">
        <v>698200</v>
      </c>
      <c r="AD96" s="2">
        <v>541800</v>
      </c>
      <c r="AE96" s="2">
        <v>597700</v>
      </c>
      <c r="AF96" s="2">
        <v>417300</v>
      </c>
      <c r="AG96" s="2">
        <f>AVERAGE(AB96:AF96)</f>
        <v>629820</v>
      </c>
      <c r="AH96" s="2">
        <v>0</v>
      </c>
      <c r="AI96" s="2">
        <v>0</v>
      </c>
      <c r="AJ96" s="2">
        <v>0</v>
      </c>
      <c r="AK96" s="2">
        <v>0</v>
      </c>
      <c r="AL96" s="2">
        <v>1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1</v>
      </c>
      <c r="AS96" s="2">
        <v>11.25</v>
      </c>
      <c r="AT96" s="2">
        <v>22.93</v>
      </c>
      <c r="AU96" s="2">
        <v>83.3</v>
      </c>
      <c r="AV96" s="2">
        <v>16.7</v>
      </c>
      <c r="AW96" s="2">
        <v>0</v>
      </c>
      <c r="AX96" s="2">
        <v>0</v>
      </c>
      <c r="AY96" s="2">
        <v>62.3</v>
      </c>
      <c r="AZ96" s="2">
        <v>59.9</v>
      </c>
      <c r="BA96" s="2">
        <v>55.1</v>
      </c>
      <c r="BB96" s="2">
        <v>57.4</v>
      </c>
      <c r="BC96" s="2">
        <v>53.8</v>
      </c>
      <c r="BD96" s="2">
        <v>0</v>
      </c>
      <c r="BE96" s="2">
        <v>56.7</v>
      </c>
      <c r="BF96" s="2">
        <v>63.7</v>
      </c>
      <c r="BG96" s="2">
        <v>0</v>
      </c>
      <c r="BH96" s="2">
        <v>0</v>
      </c>
      <c r="BI96" s="2">
        <v>19.5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1</v>
      </c>
      <c r="BV96" s="2">
        <v>26</v>
      </c>
      <c r="BW96" s="2">
        <v>30</v>
      </c>
      <c r="BX96" s="2">
        <v>23</v>
      </c>
      <c r="BY96" s="2">
        <v>0</v>
      </c>
      <c r="BZ96" s="2">
        <v>2</v>
      </c>
      <c r="CA96" s="2">
        <v>0</v>
      </c>
      <c r="CB96" s="2">
        <v>0</v>
      </c>
      <c r="CC96" s="2">
        <v>0</v>
      </c>
      <c r="CD96" s="2">
        <v>2</v>
      </c>
      <c r="CE96" s="2">
        <v>2</v>
      </c>
      <c r="CF96" s="2">
        <v>0</v>
      </c>
      <c r="CG96" s="2">
        <v>0</v>
      </c>
      <c r="CH96" s="2" t="s">
        <v>268</v>
      </c>
      <c r="CI96" s="2">
        <v>23.9</v>
      </c>
      <c r="CJ96" s="2" t="s">
        <v>237</v>
      </c>
      <c r="CK96" s="2">
        <v>1</v>
      </c>
      <c r="CL96" s="2">
        <v>26</v>
      </c>
      <c r="CM96" s="2" t="s">
        <v>497</v>
      </c>
      <c r="CN96" s="2">
        <v>9.4600000000000004E-2</v>
      </c>
      <c r="CO96" s="2">
        <v>10.68</v>
      </c>
      <c r="CP96" s="2">
        <v>1</v>
      </c>
      <c r="CQ96" s="2" t="s">
        <v>137</v>
      </c>
      <c r="CR96" s="2">
        <v>0.78500000000000003</v>
      </c>
      <c r="CS96" s="2">
        <v>0.75</v>
      </c>
      <c r="CT96" s="2">
        <v>3.5000000000000031E-2</v>
      </c>
      <c r="CU96" s="2">
        <v>0.78500000000000003</v>
      </c>
      <c r="CV96" s="2">
        <v>4</v>
      </c>
      <c r="CW96" s="2">
        <v>-5.4199999999999998E-2</v>
      </c>
      <c r="CX96" s="2">
        <v>-0.20979998999999999</v>
      </c>
      <c r="CY96" s="2">
        <v>21.63</v>
      </c>
      <c r="CZ96" s="2">
        <v>10.64</v>
      </c>
      <c r="DA96" s="2" t="s">
        <v>453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102255000</v>
      </c>
      <c r="DH96" s="2">
        <v>10.64</v>
      </c>
      <c r="DI96" s="2">
        <v>5.49</v>
      </c>
      <c r="DJ96" s="2">
        <v>164897000</v>
      </c>
      <c r="DK96" s="2">
        <v>-62642000</v>
      </c>
      <c r="DL96" s="2">
        <v>62094000</v>
      </c>
      <c r="DM96" s="2">
        <v>842476992</v>
      </c>
      <c r="DN96" s="2">
        <v>-780382992</v>
      </c>
      <c r="DO96" s="2">
        <v>7.0000000000000007E-2</v>
      </c>
      <c r="DP96" s="2">
        <v>2.23</v>
      </c>
      <c r="DQ96" s="2">
        <v>1.05</v>
      </c>
      <c r="DR96" s="2">
        <v>0.71</v>
      </c>
      <c r="DS96" s="2">
        <v>21.63</v>
      </c>
      <c r="DT96" s="2">
        <v>10.64</v>
      </c>
      <c r="DU96" s="2">
        <v>0.71</v>
      </c>
      <c r="DV96" s="2">
        <v>8.27</v>
      </c>
      <c r="DW96" s="2">
        <v>9.4</v>
      </c>
      <c r="DX96" s="2">
        <v>5.58</v>
      </c>
      <c r="DY96" s="2">
        <v>0</v>
      </c>
      <c r="DZ96" s="2">
        <v>41</v>
      </c>
      <c r="EA96" s="2">
        <v>30</v>
      </c>
      <c r="EB96" s="2">
        <v>3</v>
      </c>
      <c r="EC96" s="2">
        <v>71</v>
      </c>
      <c r="ED96" s="2">
        <v>1</v>
      </c>
    </row>
    <row r="97" spans="1:134" hidden="1" x14ac:dyDescent="0.2">
      <c r="A97" s="2" t="s">
        <v>498</v>
      </c>
      <c r="B97" s="2" t="s">
        <v>499</v>
      </c>
      <c r="C97" s="2" t="s">
        <v>135</v>
      </c>
      <c r="D97" s="2" t="s">
        <v>163</v>
      </c>
      <c r="E97" s="2">
        <v>514597632</v>
      </c>
      <c r="F97" s="2">
        <v>38.549999999999997</v>
      </c>
      <c r="G97" s="2">
        <v>38.17</v>
      </c>
      <c r="H97" s="2">
        <v>37.78</v>
      </c>
      <c r="I97" s="2">
        <v>37.9</v>
      </c>
      <c r="J97" s="2">
        <v>38.15</v>
      </c>
      <c r="K97" s="2">
        <v>38.28</v>
      </c>
      <c r="L97" s="2">
        <v>38.56</v>
      </c>
      <c r="M97" s="2">
        <v>38.28</v>
      </c>
      <c r="N97" s="2">
        <v>38.299999999999997</v>
      </c>
      <c r="O97" s="2">
        <v>38.380000000000003</v>
      </c>
      <c r="P97" s="2">
        <v>1.26</v>
      </c>
      <c r="Q97" s="2">
        <v>37.33</v>
      </c>
      <c r="R97" s="2">
        <v>39.96</v>
      </c>
      <c r="S97" s="2">
        <v>38.18</v>
      </c>
      <c r="T97" s="2">
        <v>-0.5</v>
      </c>
      <c r="U97" s="2">
        <v>37.99</v>
      </c>
      <c r="V97" s="2">
        <v>37.96</v>
      </c>
      <c r="W97" s="2">
        <v>37.409999999999997</v>
      </c>
      <c r="X97" s="2">
        <v>36.93</v>
      </c>
      <c r="Y97" s="2">
        <v>38.909999999999997</v>
      </c>
      <c r="Z97" s="2">
        <v>40.049999999999997</v>
      </c>
      <c r="AA97" s="2" t="s">
        <v>137</v>
      </c>
      <c r="AB97" s="2">
        <v>45000</v>
      </c>
      <c r="AC97" s="2">
        <v>48300</v>
      </c>
      <c r="AD97" s="2">
        <v>38200</v>
      </c>
      <c r="AE97" s="2">
        <v>54300</v>
      </c>
      <c r="AF97" s="2">
        <v>45200</v>
      </c>
      <c r="AG97" s="2">
        <f>AVERAGE(AB97:AF97)</f>
        <v>46200</v>
      </c>
      <c r="AH97" s="2">
        <v>0</v>
      </c>
      <c r="AI97" s="2">
        <v>1</v>
      </c>
      <c r="AJ97" s="2">
        <v>1</v>
      </c>
      <c r="AK97" s="2">
        <v>0</v>
      </c>
      <c r="AL97" s="2">
        <v>1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1</v>
      </c>
      <c r="AS97" s="2">
        <v>23.44</v>
      </c>
      <c r="AT97" s="2">
        <v>39.19</v>
      </c>
      <c r="AU97" s="2">
        <v>94.9</v>
      </c>
      <c r="AV97" s="2">
        <v>5.0999999999999996</v>
      </c>
      <c r="AW97" s="2">
        <v>0</v>
      </c>
      <c r="AX97" s="2">
        <v>0</v>
      </c>
      <c r="AY97" s="2">
        <v>50.8</v>
      </c>
      <c r="AZ97" s="2">
        <v>48</v>
      </c>
      <c r="BA97" s="2">
        <v>52</v>
      </c>
      <c r="BB97" s="2">
        <v>52</v>
      </c>
      <c r="BC97" s="2">
        <v>53.2</v>
      </c>
      <c r="BD97" s="2">
        <v>0</v>
      </c>
      <c r="BE97" s="2">
        <v>64.7</v>
      </c>
      <c r="BF97" s="2">
        <v>55.3</v>
      </c>
      <c r="BG97" s="2">
        <v>0</v>
      </c>
      <c r="BH97" s="2">
        <v>1</v>
      </c>
      <c r="BI97" s="2">
        <v>27.3</v>
      </c>
      <c r="BJ97" s="2">
        <v>1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1</v>
      </c>
      <c r="BR97" s="2">
        <v>0</v>
      </c>
      <c r="BS97" s="2">
        <v>0</v>
      </c>
      <c r="BT97" s="2">
        <v>0</v>
      </c>
      <c r="BU97" s="2">
        <v>1.3333299999999999</v>
      </c>
      <c r="BV97" s="2">
        <v>43.333329999999997</v>
      </c>
      <c r="BW97" s="2">
        <v>44</v>
      </c>
      <c r="BX97" s="2">
        <v>42</v>
      </c>
      <c r="BY97" s="2">
        <v>1</v>
      </c>
      <c r="BZ97" s="2">
        <v>2</v>
      </c>
      <c r="CA97" s="2">
        <v>0</v>
      </c>
      <c r="CB97" s="2">
        <v>0</v>
      </c>
      <c r="CC97" s="2">
        <v>0</v>
      </c>
      <c r="CD97" s="2">
        <v>3</v>
      </c>
      <c r="CE97" s="2">
        <v>3</v>
      </c>
      <c r="CF97" s="2">
        <v>0</v>
      </c>
      <c r="CG97" s="2">
        <v>0</v>
      </c>
      <c r="CH97" s="2" t="s">
        <v>268</v>
      </c>
      <c r="CI97" s="2">
        <v>12.9</v>
      </c>
      <c r="CJ97" s="2" t="s">
        <v>237</v>
      </c>
      <c r="CK97" s="2">
        <v>0</v>
      </c>
      <c r="CL97" s="2">
        <v>43.33</v>
      </c>
      <c r="CM97" s="2" t="s">
        <v>500</v>
      </c>
      <c r="CN97" s="2">
        <v>1.3099998999999999E-2</v>
      </c>
      <c r="CO97" s="2">
        <v>3.46</v>
      </c>
      <c r="CP97" s="2">
        <v>0</v>
      </c>
      <c r="CQ97" s="2" t="s">
        <v>137</v>
      </c>
      <c r="CR97" s="2">
        <v>0.81499999999999995</v>
      </c>
      <c r="CS97" s="2">
        <v>0.81499999999999995</v>
      </c>
      <c r="CT97" s="2">
        <v>0</v>
      </c>
      <c r="CU97" s="2">
        <v>0.81499999999999995</v>
      </c>
      <c r="CV97" s="2">
        <v>2</v>
      </c>
      <c r="CW97" s="2">
        <v>8.6699999999999999E-2</v>
      </c>
      <c r="CX97" s="2">
        <v>3.2000000000000001E-2</v>
      </c>
      <c r="CY97" s="2">
        <v>10.78</v>
      </c>
      <c r="CZ97" s="2">
        <v>10.23</v>
      </c>
      <c r="DA97" s="2" t="s">
        <v>160</v>
      </c>
      <c r="DB97" s="2">
        <v>0</v>
      </c>
      <c r="DC97" s="2">
        <v>0</v>
      </c>
      <c r="DD97" s="2">
        <v>3.5</v>
      </c>
      <c r="DE97" s="2">
        <v>0</v>
      </c>
      <c r="DF97" s="2">
        <v>0</v>
      </c>
      <c r="DG97" s="2">
        <v>41333000</v>
      </c>
      <c r="DH97" s="2">
        <v>8.0299999999999994</v>
      </c>
      <c r="DI97" s="2">
        <v>33.69</v>
      </c>
      <c r="DJ97" s="2">
        <v>43849000</v>
      </c>
      <c r="DK97" s="2">
        <v>-2516000</v>
      </c>
      <c r="DL97" s="2">
        <v>334924992</v>
      </c>
      <c r="DM97" s="2">
        <v>34603000</v>
      </c>
      <c r="DN97" s="2">
        <v>300321992</v>
      </c>
      <c r="DO97" s="2">
        <v>9.68</v>
      </c>
      <c r="DP97" s="2" t="s">
        <v>137</v>
      </c>
      <c r="DQ97" s="2" t="s">
        <v>137</v>
      </c>
      <c r="DR97" s="2" t="s">
        <v>137</v>
      </c>
      <c r="DS97" s="2">
        <v>10.78</v>
      </c>
      <c r="DT97" s="2">
        <v>10.23</v>
      </c>
      <c r="DU97" s="2" t="s">
        <v>137</v>
      </c>
      <c r="DV97" s="2" t="s">
        <v>137</v>
      </c>
      <c r="DW97" s="2">
        <v>12.45</v>
      </c>
      <c r="DX97" s="2">
        <v>0</v>
      </c>
      <c r="DY97" s="2">
        <v>0</v>
      </c>
      <c r="DZ97" s="2">
        <v>48</v>
      </c>
      <c r="EA97" s="2">
        <v>10</v>
      </c>
      <c r="EB97" s="2">
        <v>1</v>
      </c>
      <c r="EC97" s="2">
        <v>58</v>
      </c>
      <c r="ED97" s="2">
        <v>0</v>
      </c>
    </row>
    <row r="98" spans="1:134" hidden="1" x14ac:dyDescent="0.2">
      <c r="A98" t="s">
        <v>501</v>
      </c>
      <c r="B98" t="s">
        <v>502</v>
      </c>
      <c r="C98" t="s">
        <v>157</v>
      </c>
      <c r="D98" t="s">
        <v>263</v>
      </c>
      <c r="E98">
        <v>505900480</v>
      </c>
      <c r="F98">
        <v>23.85</v>
      </c>
      <c r="G98">
        <v>23.77</v>
      </c>
      <c r="H98">
        <v>23.76</v>
      </c>
      <c r="I98">
        <v>23.49</v>
      </c>
      <c r="J98">
        <v>23.54</v>
      </c>
      <c r="K98">
        <v>23.23</v>
      </c>
      <c r="L98">
        <v>23.3</v>
      </c>
      <c r="M98">
        <v>23.2</v>
      </c>
      <c r="N98">
        <v>23.22</v>
      </c>
      <c r="O98">
        <v>23.1</v>
      </c>
      <c r="P98">
        <v>0.44</v>
      </c>
      <c r="Q98">
        <v>22.66</v>
      </c>
      <c r="R98">
        <v>23.76</v>
      </c>
      <c r="S98">
        <v>23.19</v>
      </c>
      <c r="T98">
        <v>0.4</v>
      </c>
      <c r="U98">
        <v>24.36</v>
      </c>
      <c r="V98">
        <v>22.88</v>
      </c>
      <c r="W98">
        <v>22.35</v>
      </c>
      <c r="X98" t="s">
        <v>137</v>
      </c>
      <c r="Y98">
        <v>23.77</v>
      </c>
      <c r="Z98">
        <v>24.19</v>
      </c>
      <c r="AA98">
        <v>24.69</v>
      </c>
      <c r="AB98">
        <v>66700</v>
      </c>
      <c r="AC98">
        <v>63100</v>
      </c>
      <c r="AD98">
        <v>58200</v>
      </c>
      <c r="AE98">
        <v>67700</v>
      </c>
      <c r="AF98">
        <v>65400</v>
      </c>
      <c r="AG98" s="2">
        <f>AVERAGE(AB98:AF98)</f>
        <v>64220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19.93</v>
      </c>
      <c r="AT98">
        <v>25.44</v>
      </c>
      <c r="AU98">
        <v>57.5</v>
      </c>
      <c r="AV98">
        <v>42.5</v>
      </c>
      <c r="AW98">
        <v>0</v>
      </c>
      <c r="AX98">
        <v>0</v>
      </c>
      <c r="AY98">
        <v>42.4</v>
      </c>
      <c r="AZ98">
        <v>38.200000000000003</v>
      </c>
      <c r="BA98">
        <v>34.700000000000003</v>
      </c>
      <c r="BB98">
        <v>34.299999999999997</v>
      </c>
      <c r="BC98">
        <v>33</v>
      </c>
      <c r="BD98">
        <v>0</v>
      </c>
      <c r="BE98">
        <v>0</v>
      </c>
      <c r="BF98">
        <v>1.3</v>
      </c>
      <c r="BG98">
        <v>0</v>
      </c>
      <c r="BH98">
        <v>0</v>
      </c>
      <c r="BI98">
        <v>10.7</v>
      </c>
      <c r="BJ98">
        <v>0</v>
      </c>
      <c r="BK98">
        <v>1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 t="s">
        <v>137</v>
      </c>
      <c r="BV98">
        <v>27.16667</v>
      </c>
      <c r="BW98">
        <v>28.5</v>
      </c>
      <c r="BX98">
        <v>26</v>
      </c>
      <c r="BY98">
        <v>0</v>
      </c>
      <c r="BZ98">
        <v>2</v>
      </c>
      <c r="CA98">
        <v>1</v>
      </c>
      <c r="CB98">
        <v>0</v>
      </c>
      <c r="CC98">
        <v>0</v>
      </c>
      <c r="CD98">
        <v>3</v>
      </c>
      <c r="CE98">
        <v>2</v>
      </c>
      <c r="CF98">
        <v>1</v>
      </c>
      <c r="CG98">
        <v>0</v>
      </c>
      <c r="CH98" t="s">
        <v>152</v>
      </c>
      <c r="CI98">
        <v>17.600000000000001</v>
      </c>
      <c r="CJ98" t="s">
        <v>139</v>
      </c>
      <c r="CK98">
        <v>1</v>
      </c>
      <c r="CL98">
        <v>27.17</v>
      </c>
      <c r="CM98" t="s">
        <v>247</v>
      </c>
      <c r="CN98">
        <v>2.5399999999999999E-2</v>
      </c>
      <c r="CO98">
        <v>4.34</v>
      </c>
      <c r="CP98">
        <v>1</v>
      </c>
      <c r="CQ98" t="s">
        <v>137</v>
      </c>
      <c r="CR98">
        <v>0.12</v>
      </c>
      <c r="CS98">
        <v>0.05</v>
      </c>
      <c r="CT98">
        <v>6.9999999999999993E-2</v>
      </c>
      <c r="CU98">
        <v>0.12</v>
      </c>
      <c r="CV98">
        <v>1</v>
      </c>
      <c r="CW98">
        <v>-0.78660005</v>
      </c>
      <c r="CX98">
        <v>5.2199996999999998E-2</v>
      </c>
      <c r="CY98">
        <v>14.62</v>
      </c>
      <c r="CZ98">
        <v>60.79</v>
      </c>
      <c r="DA98" t="s">
        <v>148</v>
      </c>
      <c r="DB98">
        <v>0</v>
      </c>
      <c r="DC98">
        <v>0</v>
      </c>
      <c r="DD98">
        <v>1</v>
      </c>
      <c r="DE98">
        <v>0</v>
      </c>
      <c r="DF98">
        <v>0</v>
      </c>
      <c r="DG98">
        <v>37520000</v>
      </c>
      <c r="DH98">
        <v>7.42</v>
      </c>
      <c r="DI98">
        <v>36.61</v>
      </c>
      <c r="DJ98">
        <v>37520000</v>
      </c>
      <c r="DK98" t="s">
        <v>137</v>
      </c>
      <c r="DL98">
        <v>13085000</v>
      </c>
      <c r="DM98">
        <v>530676000</v>
      </c>
      <c r="DN98">
        <v>-517591000</v>
      </c>
      <c r="DO98">
        <v>0.02</v>
      </c>
      <c r="DP98">
        <v>0.85</v>
      </c>
      <c r="DQ98">
        <v>0.8</v>
      </c>
      <c r="DR98" t="s">
        <v>137</v>
      </c>
      <c r="DS98">
        <v>14.62</v>
      </c>
      <c r="DT98">
        <v>60.79</v>
      </c>
      <c r="DU98" t="s">
        <v>137</v>
      </c>
      <c r="DV98">
        <v>17.22</v>
      </c>
      <c r="DW98">
        <v>13.48</v>
      </c>
      <c r="DX98">
        <v>2.82</v>
      </c>
      <c r="DY98">
        <v>0</v>
      </c>
      <c r="DZ98">
        <v>30</v>
      </c>
      <c r="EA98">
        <v>5</v>
      </c>
      <c r="EB98">
        <v>0</v>
      </c>
      <c r="EC98">
        <v>35</v>
      </c>
      <c r="ED98">
        <v>0</v>
      </c>
    </row>
    <row r="99" spans="1:134" hidden="1" x14ac:dyDescent="0.2">
      <c r="A99" s="2" t="s">
        <v>589</v>
      </c>
      <c r="B99" s="2" t="s">
        <v>590</v>
      </c>
      <c r="C99" s="2" t="s">
        <v>309</v>
      </c>
      <c r="D99" s="2" t="s">
        <v>591</v>
      </c>
      <c r="E99" s="2">
        <v>1510892672</v>
      </c>
      <c r="F99" s="2">
        <v>10.41</v>
      </c>
      <c r="G99" s="2">
        <v>10.23</v>
      </c>
      <c r="H99" s="2">
        <v>10.07</v>
      </c>
      <c r="I99" s="2">
        <v>9.84</v>
      </c>
      <c r="J99" s="2">
        <v>9.99</v>
      </c>
      <c r="K99" s="2">
        <v>9.64</v>
      </c>
      <c r="L99" s="2">
        <v>9.82</v>
      </c>
      <c r="M99" s="2">
        <v>9.75</v>
      </c>
      <c r="N99" s="2">
        <v>9.51</v>
      </c>
      <c r="O99" s="2">
        <v>9.86</v>
      </c>
      <c r="P99" s="2">
        <v>0.37</v>
      </c>
      <c r="Q99" s="2">
        <v>9.5</v>
      </c>
      <c r="R99" s="2">
        <v>10.4</v>
      </c>
      <c r="S99" s="2">
        <v>9.86</v>
      </c>
      <c r="T99" s="2">
        <v>-0.1</v>
      </c>
      <c r="U99" s="2">
        <v>10.29</v>
      </c>
      <c r="V99" s="2">
        <v>9.68</v>
      </c>
      <c r="W99" s="2">
        <v>9.5500000000000007</v>
      </c>
      <c r="X99" s="2">
        <v>9.31</v>
      </c>
      <c r="Y99" s="2">
        <v>10.199999999999999</v>
      </c>
      <c r="Z99" s="2">
        <v>10.31</v>
      </c>
      <c r="AA99" s="2">
        <v>10.58</v>
      </c>
      <c r="AB99" s="2">
        <v>899300</v>
      </c>
      <c r="AC99" s="2">
        <v>1091000</v>
      </c>
      <c r="AD99" s="2">
        <v>1126400</v>
      </c>
      <c r="AE99" s="2">
        <v>918500</v>
      </c>
      <c r="AF99" s="2">
        <v>1210100</v>
      </c>
      <c r="AG99" s="2">
        <f>AVERAGE(AB99:AF99)</f>
        <v>1049060</v>
      </c>
      <c r="AH99" s="2">
        <v>0</v>
      </c>
      <c r="AI99" s="2">
        <v>0</v>
      </c>
      <c r="AJ99" s="2">
        <v>0</v>
      </c>
      <c r="AK99" s="2">
        <v>0</v>
      </c>
      <c r="AL99" s="2">
        <v>1</v>
      </c>
      <c r="AM99" s="2">
        <v>0</v>
      </c>
      <c r="AN99" s="2">
        <v>0</v>
      </c>
      <c r="AO99" s="2">
        <v>0</v>
      </c>
      <c r="AP99" s="2">
        <v>0</v>
      </c>
      <c r="AQ99" s="2">
        <v>1</v>
      </c>
      <c r="AR99" s="2">
        <v>0</v>
      </c>
      <c r="AS99" s="2">
        <v>7.1</v>
      </c>
      <c r="AT99" s="2">
        <v>13.71</v>
      </c>
      <c r="AU99" s="2">
        <v>41.8</v>
      </c>
      <c r="AV99" s="2">
        <v>58.2</v>
      </c>
      <c r="AW99" s="2">
        <v>0</v>
      </c>
      <c r="AX99" s="2">
        <v>1</v>
      </c>
      <c r="AY99" s="2">
        <v>45.9</v>
      </c>
      <c r="AZ99" s="2">
        <v>40.9</v>
      </c>
      <c r="BA99" s="2">
        <v>38.6</v>
      </c>
      <c r="BB99" s="2">
        <v>40.6</v>
      </c>
      <c r="BC99" s="2">
        <v>42.6</v>
      </c>
      <c r="BD99" s="2">
        <v>1</v>
      </c>
      <c r="BE99" s="2">
        <v>13.8</v>
      </c>
      <c r="BF99" s="2">
        <v>7.2</v>
      </c>
      <c r="BG99" s="2">
        <v>0</v>
      </c>
      <c r="BH99" s="2">
        <v>0</v>
      </c>
      <c r="BI99" s="2">
        <v>16</v>
      </c>
      <c r="BJ99" s="2">
        <v>0</v>
      </c>
      <c r="BK99" s="2">
        <v>1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 t="s">
        <v>137</v>
      </c>
      <c r="BV99" s="2">
        <v>14.55</v>
      </c>
      <c r="BW99" s="2">
        <v>20</v>
      </c>
      <c r="BX99" s="2">
        <v>11</v>
      </c>
      <c r="BY99" s="2">
        <v>0</v>
      </c>
      <c r="BZ99" s="2">
        <v>8</v>
      </c>
      <c r="CA99" s="2">
        <v>3</v>
      </c>
      <c r="CB99" s="2">
        <v>0</v>
      </c>
      <c r="CC99" s="2">
        <v>0</v>
      </c>
      <c r="CD99" s="2">
        <v>11</v>
      </c>
      <c r="CE99" s="2">
        <v>8</v>
      </c>
      <c r="CF99" s="2">
        <v>3</v>
      </c>
      <c r="CG99" s="2">
        <v>0</v>
      </c>
      <c r="CH99" s="2" t="s">
        <v>152</v>
      </c>
      <c r="CI99" s="2">
        <v>47.6</v>
      </c>
      <c r="CJ99" s="2" t="s">
        <v>139</v>
      </c>
      <c r="CK99" s="2">
        <v>1</v>
      </c>
      <c r="CL99" s="2">
        <v>14.55</v>
      </c>
      <c r="CM99" s="2" t="s">
        <v>592</v>
      </c>
      <c r="CN99" s="2">
        <v>0.20250000000000001</v>
      </c>
      <c r="CO99" s="2">
        <v>3.34</v>
      </c>
      <c r="CP99" s="2">
        <v>1</v>
      </c>
      <c r="CQ99" s="2" t="s">
        <v>137</v>
      </c>
      <c r="CR99" s="2">
        <v>0.15445999999999999</v>
      </c>
      <c r="CS99" s="2">
        <v>0.15967999999999999</v>
      </c>
      <c r="CT99" s="2">
        <v>-5.2200000000000024E-3</v>
      </c>
      <c r="CU99" s="2">
        <v>0.15445999999999999</v>
      </c>
      <c r="CV99" s="2">
        <v>11</v>
      </c>
      <c r="CW99" s="2">
        <v>0.1033</v>
      </c>
      <c r="CX99" s="2">
        <v>0.1017</v>
      </c>
      <c r="CY99" s="2">
        <v>65.73</v>
      </c>
      <c r="CZ99" s="2">
        <v>16.16</v>
      </c>
      <c r="DA99" s="2" t="s">
        <v>148</v>
      </c>
      <c r="DB99" s="2">
        <v>1</v>
      </c>
      <c r="DC99" s="2">
        <v>1</v>
      </c>
      <c r="DD99" s="2">
        <v>2.5</v>
      </c>
      <c r="DE99" s="2">
        <v>0</v>
      </c>
      <c r="DF99" s="2">
        <v>0</v>
      </c>
      <c r="DG99" s="2">
        <v>48637000</v>
      </c>
      <c r="DH99" s="2">
        <v>3.22</v>
      </c>
      <c r="DI99" s="2">
        <v>2.79</v>
      </c>
      <c r="DJ99" s="2">
        <v>167280000</v>
      </c>
      <c r="DK99" s="2">
        <v>-118643000</v>
      </c>
      <c r="DL99" s="2">
        <v>99159000</v>
      </c>
      <c r="DM99" s="2">
        <v>1437267968</v>
      </c>
      <c r="DN99" s="2">
        <v>-1338108968</v>
      </c>
      <c r="DO99" s="2">
        <v>7.0000000000000007E-2</v>
      </c>
      <c r="DP99" s="2">
        <v>0.84</v>
      </c>
      <c r="DQ99" s="2">
        <v>0.48</v>
      </c>
      <c r="DR99" s="2" t="s">
        <v>137</v>
      </c>
      <c r="DS99" s="2">
        <v>65.73</v>
      </c>
      <c r="DT99" s="2">
        <v>16.16</v>
      </c>
      <c r="DU99" s="2" t="s">
        <v>137</v>
      </c>
      <c r="DV99" s="2">
        <v>12.15</v>
      </c>
      <c r="DW99" s="2">
        <v>31.06</v>
      </c>
      <c r="DX99" s="2">
        <v>3.62</v>
      </c>
      <c r="DY99" s="2">
        <v>0</v>
      </c>
      <c r="DZ99" s="2">
        <v>30</v>
      </c>
      <c r="EA99" s="2">
        <v>15</v>
      </c>
      <c r="EB99" s="2">
        <v>1</v>
      </c>
      <c r="EC99" s="2">
        <v>45</v>
      </c>
      <c r="ED99" s="2">
        <v>0</v>
      </c>
    </row>
    <row r="100" spans="1:134" hidden="1" x14ac:dyDescent="0.2">
      <c r="A100" s="2" t="s">
        <v>634</v>
      </c>
      <c r="B100" s="2" t="s">
        <v>635</v>
      </c>
      <c r="C100" s="2" t="s">
        <v>241</v>
      </c>
      <c r="D100" s="2" t="s">
        <v>242</v>
      </c>
      <c r="E100" s="2">
        <v>641382016</v>
      </c>
      <c r="F100" s="2">
        <v>6.38</v>
      </c>
      <c r="G100" s="2">
        <v>6.38</v>
      </c>
      <c r="H100" s="2">
        <v>6.37</v>
      </c>
      <c r="I100" s="2">
        <v>6.09</v>
      </c>
      <c r="J100" s="2">
        <v>6.14</v>
      </c>
      <c r="K100" s="2">
        <v>6.28</v>
      </c>
      <c r="L100" s="2">
        <v>6.25</v>
      </c>
      <c r="M100" s="2">
        <v>6.4</v>
      </c>
      <c r="N100" s="2">
        <v>6.45</v>
      </c>
      <c r="O100" s="2">
        <v>6.48</v>
      </c>
      <c r="P100" s="2">
        <v>0.42</v>
      </c>
      <c r="Q100" s="2">
        <v>6.11</v>
      </c>
      <c r="R100" s="2">
        <v>7.04</v>
      </c>
      <c r="S100" s="2">
        <v>6.48</v>
      </c>
      <c r="T100" s="2">
        <v>0</v>
      </c>
      <c r="U100" s="2">
        <v>5.83</v>
      </c>
      <c r="V100" s="2">
        <v>6.32</v>
      </c>
      <c r="W100" s="2">
        <v>5.98</v>
      </c>
      <c r="X100" s="2">
        <v>5.75</v>
      </c>
      <c r="Y100" s="2">
        <v>7.88</v>
      </c>
      <c r="Z100" s="2" t="s">
        <v>137</v>
      </c>
      <c r="AA100" s="2" t="s">
        <v>137</v>
      </c>
      <c r="AB100" s="2">
        <v>1233900</v>
      </c>
      <c r="AC100" s="2">
        <v>982500</v>
      </c>
      <c r="AD100" s="2">
        <v>978200</v>
      </c>
      <c r="AE100" s="2">
        <v>780600</v>
      </c>
      <c r="AF100" s="2">
        <v>1028500</v>
      </c>
      <c r="AG100" s="2">
        <f>AVERAGE(AB100:AF100)</f>
        <v>1000740</v>
      </c>
      <c r="AH100" s="2">
        <v>0</v>
      </c>
      <c r="AI100" s="2">
        <v>0</v>
      </c>
      <c r="AJ100" s="2">
        <v>1</v>
      </c>
      <c r="AK100" s="2">
        <v>1</v>
      </c>
      <c r="AL100" s="2">
        <v>1</v>
      </c>
      <c r="AM100" s="2">
        <v>0</v>
      </c>
      <c r="AN100" s="2">
        <v>0</v>
      </c>
      <c r="AO100" s="2">
        <v>0</v>
      </c>
      <c r="AP100" s="2">
        <v>1</v>
      </c>
      <c r="AQ100" s="2">
        <v>0</v>
      </c>
      <c r="AR100" s="2">
        <v>1</v>
      </c>
      <c r="AS100" s="2">
        <v>3.34</v>
      </c>
      <c r="AT100" s="2">
        <v>8.99</v>
      </c>
      <c r="AU100" s="2">
        <v>55.6</v>
      </c>
      <c r="AV100" s="2">
        <v>44.4</v>
      </c>
      <c r="AW100" s="2">
        <v>0</v>
      </c>
      <c r="AX100" s="2">
        <v>1</v>
      </c>
      <c r="AY100" s="2">
        <v>56.1</v>
      </c>
      <c r="AZ100" s="2">
        <v>47.9</v>
      </c>
      <c r="BA100" s="2">
        <v>52.8</v>
      </c>
      <c r="BB100" s="2">
        <v>55.6</v>
      </c>
      <c r="BC100" s="2">
        <v>57.4</v>
      </c>
      <c r="BD100" s="2">
        <v>0</v>
      </c>
      <c r="BE100" s="2">
        <v>26.4</v>
      </c>
      <c r="BF100" s="2">
        <v>15.7</v>
      </c>
      <c r="BG100" s="2">
        <v>0</v>
      </c>
      <c r="BH100" s="2">
        <v>0</v>
      </c>
      <c r="BI100" s="2">
        <v>40.700000000000003</v>
      </c>
      <c r="BJ100" s="2">
        <v>1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3</v>
      </c>
      <c r="BV100" s="2">
        <v>7</v>
      </c>
      <c r="BW100" s="2">
        <v>7</v>
      </c>
      <c r="BX100" s="2">
        <v>7</v>
      </c>
      <c r="BY100" s="2">
        <v>0</v>
      </c>
      <c r="BZ100" s="2">
        <v>0</v>
      </c>
      <c r="CA100" s="2">
        <v>1</v>
      </c>
      <c r="CB100" s="2">
        <v>0</v>
      </c>
      <c r="CC100" s="2">
        <v>0</v>
      </c>
      <c r="CD100" s="2">
        <v>1</v>
      </c>
      <c r="CE100" s="2">
        <v>0</v>
      </c>
      <c r="CF100" s="2">
        <v>1</v>
      </c>
      <c r="CG100" s="2">
        <v>0</v>
      </c>
      <c r="CH100" s="2" t="s">
        <v>146</v>
      </c>
      <c r="CI100" s="2">
        <v>8</v>
      </c>
      <c r="CJ100" s="2" t="s">
        <v>188</v>
      </c>
      <c r="CK100" s="2">
        <v>1</v>
      </c>
      <c r="CL100" s="2">
        <v>7</v>
      </c>
      <c r="CM100" s="2" t="s">
        <v>636</v>
      </c>
      <c r="CN100" s="2">
        <v>9.5500000000000002E-2</v>
      </c>
      <c r="CO100" s="2">
        <v>7.54</v>
      </c>
      <c r="CP100" s="2">
        <v>1</v>
      </c>
      <c r="CQ100" s="2" t="s">
        <v>137</v>
      </c>
      <c r="CR100" s="2">
        <v>0.19</v>
      </c>
      <c r="CS100" s="2">
        <v>0.18</v>
      </c>
      <c r="CT100" s="2">
        <v>1.0000000000000011E-2</v>
      </c>
      <c r="CU100" s="2">
        <v>0.19</v>
      </c>
      <c r="CV100" s="2">
        <v>1</v>
      </c>
      <c r="CW100" s="2">
        <v>0.35709997999999998</v>
      </c>
      <c r="CX100" s="2">
        <v>0.3962</v>
      </c>
      <c r="CY100" s="2">
        <v>38.119999999999997</v>
      </c>
      <c r="CZ100" s="2">
        <v>8.5299999999999994</v>
      </c>
      <c r="DA100" s="2" t="s">
        <v>512</v>
      </c>
      <c r="DB100" s="2">
        <v>0</v>
      </c>
      <c r="DC100" s="2">
        <v>0</v>
      </c>
      <c r="DD100" s="2">
        <v>0.5</v>
      </c>
      <c r="DE100" s="2">
        <v>0</v>
      </c>
      <c r="DF100" s="2">
        <v>0</v>
      </c>
      <c r="DG100" s="2">
        <v>53290000</v>
      </c>
      <c r="DH100" s="2">
        <v>8.31</v>
      </c>
      <c r="DI100" s="2">
        <v>12.03</v>
      </c>
      <c r="DJ100" s="2">
        <v>55847000</v>
      </c>
      <c r="DK100" s="2">
        <v>-2557000</v>
      </c>
      <c r="DL100" s="2">
        <v>86828000</v>
      </c>
      <c r="DM100" s="2">
        <v>221674000</v>
      </c>
      <c r="DN100" s="2">
        <v>-134846000</v>
      </c>
      <c r="DO100" s="2">
        <v>0.39</v>
      </c>
      <c r="DP100" s="2">
        <v>0.83</v>
      </c>
      <c r="DQ100" s="2">
        <v>0.68</v>
      </c>
      <c r="DR100" s="2" t="s">
        <v>137</v>
      </c>
      <c r="DS100" s="2">
        <v>38.119999999999997</v>
      </c>
      <c r="DT100" s="2">
        <v>8.5299999999999994</v>
      </c>
      <c r="DU100" s="2" t="s">
        <v>137</v>
      </c>
      <c r="DV100" s="2">
        <v>19.48</v>
      </c>
      <c r="DW100" s="2">
        <v>12.04</v>
      </c>
      <c r="DX100" s="2">
        <v>0</v>
      </c>
      <c r="DY100" s="2">
        <v>0</v>
      </c>
      <c r="DZ100" s="2">
        <v>28</v>
      </c>
      <c r="EA100" s="2">
        <v>15</v>
      </c>
      <c r="EB100" s="2">
        <v>1</v>
      </c>
      <c r="EC100" s="2">
        <v>43</v>
      </c>
      <c r="ED100" s="2">
        <v>0</v>
      </c>
    </row>
    <row r="101" spans="1:134" hidden="1" x14ac:dyDescent="0.2">
      <c r="A101" t="s">
        <v>528</v>
      </c>
      <c r="B101" t="s">
        <v>529</v>
      </c>
      <c r="C101" t="s">
        <v>144</v>
      </c>
      <c r="D101" t="s">
        <v>374</v>
      </c>
      <c r="E101">
        <v>983791424</v>
      </c>
      <c r="F101">
        <v>25.98</v>
      </c>
      <c r="G101">
        <v>25.87</v>
      </c>
      <c r="H101">
        <v>25.62</v>
      </c>
      <c r="I101">
        <v>25.88</v>
      </c>
      <c r="J101">
        <v>25.92</v>
      </c>
      <c r="K101">
        <v>25.16</v>
      </c>
      <c r="L101">
        <v>25.43</v>
      </c>
      <c r="M101">
        <v>25.36</v>
      </c>
      <c r="N101">
        <v>25.71</v>
      </c>
      <c r="O101">
        <v>24.68</v>
      </c>
      <c r="P101">
        <v>0.68</v>
      </c>
      <c r="Q101">
        <v>24.27</v>
      </c>
      <c r="R101">
        <v>25.3</v>
      </c>
      <c r="S101">
        <v>24.73</v>
      </c>
      <c r="T101">
        <v>0.2</v>
      </c>
      <c r="U101">
        <v>25.44</v>
      </c>
      <c r="V101">
        <v>24.61</v>
      </c>
      <c r="W101">
        <v>24.32</v>
      </c>
      <c r="X101">
        <v>23.66</v>
      </c>
      <c r="Y101">
        <v>25.17</v>
      </c>
      <c r="Z101">
        <v>26.07</v>
      </c>
      <c r="AA101">
        <v>26.78</v>
      </c>
      <c r="AB101">
        <v>386400</v>
      </c>
      <c r="AC101">
        <v>571700</v>
      </c>
      <c r="AD101">
        <v>733800</v>
      </c>
      <c r="AE101">
        <v>538000</v>
      </c>
      <c r="AF101">
        <v>417700</v>
      </c>
      <c r="AG101" s="2">
        <f>AVERAGE(AB101:AF101)</f>
        <v>529520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19.16</v>
      </c>
      <c r="AT101">
        <v>27.62</v>
      </c>
      <c r="AU101">
        <v>65.2</v>
      </c>
      <c r="AV101">
        <v>34.799999999999997</v>
      </c>
      <c r="AW101">
        <v>0</v>
      </c>
      <c r="AX101">
        <v>0</v>
      </c>
      <c r="AY101">
        <v>54.1</v>
      </c>
      <c r="AZ101">
        <v>54.2</v>
      </c>
      <c r="BA101">
        <v>46.9</v>
      </c>
      <c r="BB101">
        <v>48.9</v>
      </c>
      <c r="BC101">
        <v>42.8</v>
      </c>
      <c r="BD101">
        <v>0</v>
      </c>
      <c r="BE101">
        <v>4.4000000000000004</v>
      </c>
      <c r="BF101">
        <v>22</v>
      </c>
      <c r="BG101">
        <v>0</v>
      </c>
      <c r="BH101">
        <v>0</v>
      </c>
      <c r="BI101">
        <v>16.899999999999999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 t="s">
        <v>137</v>
      </c>
      <c r="BV101">
        <v>30</v>
      </c>
      <c r="BW101">
        <v>38</v>
      </c>
      <c r="BX101">
        <v>23</v>
      </c>
      <c r="BY101">
        <v>1</v>
      </c>
      <c r="BZ101">
        <v>3</v>
      </c>
      <c r="CA101">
        <v>2</v>
      </c>
      <c r="CB101">
        <v>0</v>
      </c>
      <c r="CC101">
        <v>1</v>
      </c>
      <c r="CD101">
        <v>7</v>
      </c>
      <c r="CE101">
        <v>4</v>
      </c>
      <c r="CF101">
        <v>2</v>
      </c>
      <c r="CG101">
        <v>1</v>
      </c>
      <c r="CH101" t="s">
        <v>152</v>
      </c>
      <c r="CI101">
        <v>21.6</v>
      </c>
      <c r="CJ101" t="s">
        <v>139</v>
      </c>
      <c r="CK101">
        <v>0</v>
      </c>
      <c r="CL101">
        <v>29.75</v>
      </c>
      <c r="CM101" t="s">
        <v>530</v>
      </c>
      <c r="CN101">
        <v>0.26429999999999998</v>
      </c>
      <c r="CO101">
        <v>11.11</v>
      </c>
      <c r="CP101">
        <v>0</v>
      </c>
      <c r="CQ101" t="s">
        <v>137</v>
      </c>
      <c r="CR101">
        <v>0.71201999999999999</v>
      </c>
      <c r="CS101">
        <v>0.75902999999999998</v>
      </c>
      <c r="CT101">
        <v>-4.7010000000000003E-2</v>
      </c>
      <c r="CU101">
        <v>0.71201999999999999</v>
      </c>
      <c r="CV101">
        <v>7</v>
      </c>
      <c r="CW101">
        <v>1.72E-2</v>
      </c>
      <c r="CX101">
        <v>8.8099999999999998E-2</v>
      </c>
      <c r="CY101">
        <v>70.510000000000005</v>
      </c>
      <c r="CZ101">
        <v>7.18</v>
      </c>
      <c r="DA101" t="s">
        <v>148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136661000</v>
      </c>
      <c r="DH101">
        <v>13.89</v>
      </c>
      <c r="DI101">
        <v>18.32</v>
      </c>
      <c r="DJ101">
        <v>151994000</v>
      </c>
      <c r="DK101">
        <v>-15333000</v>
      </c>
      <c r="DL101">
        <v>251031008</v>
      </c>
      <c r="DM101">
        <v>412116992</v>
      </c>
      <c r="DN101">
        <v>-161085984</v>
      </c>
      <c r="DO101">
        <v>0.61</v>
      </c>
      <c r="DP101">
        <v>5.04</v>
      </c>
      <c r="DQ101">
        <v>3.21</v>
      </c>
      <c r="DR101">
        <v>11.21</v>
      </c>
      <c r="DS101">
        <v>70.510000000000005</v>
      </c>
      <c r="DT101">
        <v>7.18</v>
      </c>
      <c r="DU101">
        <v>11.21</v>
      </c>
      <c r="DV101">
        <v>9.23</v>
      </c>
      <c r="DW101">
        <v>7.2</v>
      </c>
      <c r="DX101">
        <v>4.6399999999999997</v>
      </c>
      <c r="DY101">
        <v>0</v>
      </c>
      <c r="DZ101">
        <v>27</v>
      </c>
      <c r="EA101">
        <v>20</v>
      </c>
      <c r="EB101">
        <v>2</v>
      </c>
      <c r="EC101">
        <v>47</v>
      </c>
      <c r="ED101">
        <v>0</v>
      </c>
    </row>
    <row r="102" spans="1:134" hidden="1" x14ac:dyDescent="0.2">
      <c r="A102" s="2" t="s">
        <v>513</v>
      </c>
      <c r="B102" s="2" t="s">
        <v>514</v>
      </c>
      <c r="C102" s="2" t="s">
        <v>135</v>
      </c>
      <c r="D102" s="2" t="s">
        <v>163</v>
      </c>
      <c r="E102" s="2">
        <v>229962272</v>
      </c>
      <c r="F102" s="2">
        <v>15.45</v>
      </c>
      <c r="G102" s="2">
        <v>15.22</v>
      </c>
      <c r="H102" s="2">
        <v>15.13</v>
      </c>
      <c r="I102" s="2">
        <v>15.2</v>
      </c>
      <c r="J102" s="2">
        <v>15.33</v>
      </c>
      <c r="K102" s="2">
        <v>15.26</v>
      </c>
      <c r="L102" s="2">
        <v>15.3</v>
      </c>
      <c r="M102" s="2">
        <v>15.36</v>
      </c>
      <c r="N102" s="2">
        <v>15.36</v>
      </c>
      <c r="O102" s="2">
        <v>15.4</v>
      </c>
      <c r="P102" s="2">
        <v>0.28000000000000003</v>
      </c>
      <c r="Q102" s="2">
        <v>14.98</v>
      </c>
      <c r="R102" s="2">
        <v>16.03</v>
      </c>
      <c r="S102" s="2">
        <v>15.4</v>
      </c>
      <c r="T102" s="2">
        <v>0</v>
      </c>
      <c r="U102" s="2">
        <v>15.3</v>
      </c>
      <c r="V102" s="2">
        <v>15.12</v>
      </c>
      <c r="W102" s="2">
        <v>14.88</v>
      </c>
      <c r="X102" s="2">
        <v>14.45</v>
      </c>
      <c r="Y102" s="2">
        <v>15.49</v>
      </c>
      <c r="Z102" s="2">
        <v>15.82</v>
      </c>
      <c r="AA102" s="2">
        <v>16.809999999999999</v>
      </c>
      <c r="AB102" s="2">
        <v>32900</v>
      </c>
      <c r="AC102" s="2">
        <v>37900</v>
      </c>
      <c r="AD102" s="2">
        <v>23100</v>
      </c>
      <c r="AE102" s="2">
        <v>61900</v>
      </c>
      <c r="AF102" s="2">
        <v>37800</v>
      </c>
      <c r="AG102" s="2">
        <f>AVERAGE(AB102:AF102)</f>
        <v>38720</v>
      </c>
      <c r="AH102" s="2">
        <v>0</v>
      </c>
      <c r="AI102" s="2">
        <v>1</v>
      </c>
      <c r="AJ102" s="2">
        <v>0</v>
      </c>
      <c r="AK102" s="2">
        <v>1</v>
      </c>
      <c r="AL102" s="2">
        <v>1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1</v>
      </c>
      <c r="AS102" s="2">
        <v>12.47</v>
      </c>
      <c r="AT102" s="2">
        <v>16.16</v>
      </c>
      <c r="AU102" s="2">
        <v>79.400000000000006</v>
      </c>
      <c r="AV102" s="2">
        <v>20.6</v>
      </c>
      <c r="AW102" s="2">
        <v>0</v>
      </c>
      <c r="AX102" s="2">
        <v>1</v>
      </c>
      <c r="AY102" s="2">
        <v>47.9</v>
      </c>
      <c r="AZ102" s="2">
        <v>47.4</v>
      </c>
      <c r="BA102" s="2">
        <v>49.2</v>
      </c>
      <c r="BB102" s="2">
        <v>52.1</v>
      </c>
      <c r="BC102" s="2">
        <v>53.3</v>
      </c>
      <c r="BD102" s="2">
        <v>0</v>
      </c>
      <c r="BE102" s="2">
        <v>77.599999999999994</v>
      </c>
      <c r="BF102" s="2">
        <v>64.900000000000006</v>
      </c>
      <c r="BG102" s="2">
        <v>0</v>
      </c>
      <c r="BH102" s="2">
        <v>0</v>
      </c>
      <c r="BI102" s="2">
        <v>15.8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 t="s">
        <v>137</v>
      </c>
      <c r="BV102" s="2">
        <v>17.75</v>
      </c>
      <c r="BW102" s="2">
        <v>18</v>
      </c>
      <c r="BX102" s="2">
        <v>17.5</v>
      </c>
      <c r="BY102" s="2">
        <v>0</v>
      </c>
      <c r="BZ102" s="2">
        <v>1</v>
      </c>
      <c r="CA102" s="2">
        <v>1</v>
      </c>
      <c r="CB102" s="2">
        <v>0</v>
      </c>
      <c r="CC102" s="2">
        <v>0</v>
      </c>
      <c r="CD102" s="2">
        <v>2</v>
      </c>
      <c r="CE102" s="2">
        <v>1</v>
      </c>
      <c r="CF102" s="2">
        <v>1</v>
      </c>
      <c r="CG102" s="2">
        <v>0</v>
      </c>
      <c r="CH102" s="2" t="s">
        <v>152</v>
      </c>
      <c r="CI102" s="2">
        <v>15.3</v>
      </c>
      <c r="CJ102" s="2" t="s">
        <v>139</v>
      </c>
      <c r="CK102" s="2">
        <v>1</v>
      </c>
      <c r="CL102" s="2">
        <v>17.75</v>
      </c>
      <c r="CM102" s="2" t="s">
        <v>515</v>
      </c>
      <c r="CN102" s="2">
        <v>1.1299999999999999E-2</v>
      </c>
      <c r="CO102" s="2">
        <v>2.76</v>
      </c>
      <c r="CP102" s="2">
        <v>2</v>
      </c>
      <c r="CQ102" s="2" t="s">
        <v>137</v>
      </c>
      <c r="CR102" s="2">
        <v>0.5</v>
      </c>
      <c r="CS102" s="2">
        <v>0.47</v>
      </c>
      <c r="CT102" s="2">
        <v>3.000000000000003E-2</v>
      </c>
      <c r="CU102" s="2">
        <v>0.5</v>
      </c>
      <c r="CV102" s="2">
        <v>2</v>
      </c>
      <c r="CW102" s="2">
        <v>0.11109999600000001</v>
      </c>
      <c r="CX102" s="2">
        <v>0.16569999999999999</v>
      </c>
      <c r="CY102" s="2">
        <v>7.9</v>
      </c>
      <c r="CZ102" s="2">
        <v>7.48</v>
      </c>
      <c r="DA102" s="2" t="s">
        <v>214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23360000</v>
      </c>
      <c r="DH102" s="2">
        <v>10.16</v>
      </c>
      <c r="DI102" s="2">
        <v>24.05</v>
      </c>
      <c r="DJ102" s="2">
        <v>26161000</v>
      </c>
      <c r="DK102" s="2">
        <v>-2801000</v>
      </c>
      <c r="DL102" s="2">
        <v>175302000</v>
      </c>
      <c r="DM102" s="2">
        <v>109833000</v>
      </c>
      <c r="DN102" s="2">
        <v>65469000</v>
      </c>
      <c r="DO102" s="2">
        <v>1.6</v>
      </c>
      <c r="DP102" s="2" t="s">
        <v>137</v>
      </c>
      <c r="DQ102" s="2" t="s">
        <v>137</v>
      </c>
      <c r="DR102" s="2">
        <v>0.97</v>
      </c>
      <c r="DS102" s="2">
        <v>7.9</v>
      </c>
      <c r="DT102" s="2">
        <v>7.48</v>
      </c>
      <c r="DU102" s="2">
        <v>0.97</v>
      </c>
      <c r="DV102" s="2" t="s">
        <v>137</v>
      </c>
      <c r="DW102" s="2">
        <v>9.84</v>
      </c>
      <c r="DX102" s="2">
        <v>0</v>
      </c>
      <c r="DY102" s="2">
        <v>0</v>
      </c>
      <c r="DZ102" s="2">
        <v>42</v>
      </c>
      <c r="EA102" s="2">
        <v>20</v>
      </c>
      <c r="EB102" s="2">
        <v>2</v>
      </c>
      <c r="EC102" s="2">
        <v>62</v>
      </c>
      <c r="ED102" s="2">
        <v>0</v>
      </c>
    </row>
    <row r="103" spans="1:134" hidden="1" x14ac:dyDescent="0.2">
      <c r="A103" s="2" t="s">
        <v>516</v>
      </c>
      <c r="B103" s="2" t="s">
        <v>517</v>
      </c>
      <c r="C103" s="2" t="s">
        <v>135</v>
      </c>
      <c r="D103" s="2" t="s">
        <v>518</v>
      </c>
      <c r="E103" s="2">
        <v>372496768</v>
      </c>
      <c r="F103" s="2">
        <v>7.79</v>
      </c>
      <c r="G103" s="2">
        <v>7.99</v>
      </c>
      <c r="H103" s="2">
        <v>7.9</v>
      </c>
      <c r="I103" s="2">
        <v>7.78</v>
      </c>
      <c r="J103" s="2">
        <v>7.68</v>
      </c>
      <c r="K103" s="2">
        <v>7.66</v>
      </c>
      <c r="L103" s="2">
        <v>7.84</v>
      </c>
      <c r="M103" s="2">
        <v>7.87</v>
      </c>
      <c r="N103" s="2">
        <v>7.8</v>
      </c>
      <c r="O103" s="2">
        <v>8.1</v>
      </c>
      <c r="P103" s="2">
        <v>0.31</v>
      </c>
      <c r="Q103" s="2">
        <v>7.44</v>
      </c>
      <c r="R103" s="2">
        <v>9.09</v>
      </c>
      <c r="S103" s="2">
        <v>8.1199999999999992</v>
      </c>
      <c r="T103" s="2">
        <v>0.2</v>
      </c>
      <c r="U103" s="2">
        <v>6.77</v>
      </c>
      <c r="V103" s="2">
        <v>7.6</v>
      </c>
      <c r="W103" s="2">
        <v>7.31</v>
      </c>
      <c r="X103" s="2">
        <v>7.16</v>
      </c>
      <c r="Y103" s="2">
        <v>8.16</v>
      </c>
      <c r="Z103" s="2">
        <v>8.3000000000000007</v>
      </c>
      <c r="AA103" s="2" t="s">
        <v>137</v>
      </c>
      <c r="AB103" s="2">
        <v>538000</v>
      </c>
      <c r="AC103" s="2">
        <v>372800</v>
      </c>
      <c r="AD103" s="2">
        <v>474900</v>
      </c>
      <c r="AE103" s="2">
        <v>356200</v>
      </c>
      <c r="AF103" s="2">
        <v>381200</v>
      </c>
      <c r="AG103" s="2">
        <f>AVERAGE(AB103:AF103)</f>
        <v>424620</v>
      </c>
      <c r="AH103" s="2">
        <v>1</v>
      </c>
      <c r="AI103" s="2">
        <v>0</v>
      </c>
      <c r="AJ103" s="2">
        <v>0</v>
      </c>
      <c r="AK103" s="2">
        <v>1</v>
      </c>
      <c r="AL103" s="2">
        <v>1</v>
      </c>
      <c r="AM103" s="2">
        <v>0</v>
      </c>
      <c r="AN103" s="2">
        <v>0</v>
      </c>
      <c r="AO103" s="2">
        <v>0</v>
      </c>
      <c r="AP103" s="2">
        <v>0</v>
      </c>
      <c r="AQ103" s="2">
        <v>1</v>
      </c>
      <c r="AR103" s="2">
        <v>1</v>
      </c>
      <c r="AS103" s="2">
        <v>4.13</v>
      </c>
      <c r="AT103" s="2">
        <v>8.1</v>
      </c>
      <c r="AU103" s="2">
        <v>100</v>
      </c>
      <c r="AV103" s="2">
        <v>0</v>
      </c>
      <c r="AW103" s="2">
        <v>0</v>
      </c>
      <c r="AX103" s="2">
        <v>1</v>
      </c>
      <c r="AY103" s="2">
        <v>66.599999999999994</v>
      </c>
      <c r="AZ103" s="2">
        <v>61.1</v>
      </c>
      <c r="BA103" s="2">
        <v>58.1</v>
      </c>
      <c r="BB103" s="2">
        <v>61.6</v>
      </c>
      <c r="BC103" s="2">
        <v>65.099999999999994</v>
      </c>
      <c r="BD103" s="2">
        <v>0</v>
      </c>
      <c r="BE103" s="2">
        <v>66.3</v>
      </c>
      <c r="BF103" s="2">
        <v>64</v>
      </c>
      <c r="BG103" s="2">
        <v>0</v>
      </c>
      <c r="BH103" s="2">
        <v>0</v>
      </c>
      <c r="BI103" s="2">
        <v>30.5</v>
      </c>
      <c r="BJ103" s="2">
        <v>1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 t="s">
        <v>137</v>
      </c>
      <c r="BV103" s="2">
        <v>9.6</v>
      </c>
      <c r="BW103" s="2">
        <v>13</v>
      </c>
      <c r="BX103" s="2">
        <v>6</v>
      </c>
      <c r="BY103" s="2">
        <v>0</v>
      </c>
      <c r="BZ103" s="2">
        <v>3</v>
      </c>
      <c r="CA103" s="2">
        <v>2</v>
      </c>
      <c r="CB103" s="2">
        <v>0</v>
      </c>
      <c r="CC103" s="2">
        <v>0</v>
      </c>
      <c r="CD103" s="2">
        <v>5</v>
      </c>
      <c r="CE103" s="2">
        <v>3</v>
      </c>
      <c r="CF103" s="2">
        <v>2</v>
      </c>
      <c r="CG103" s="2">
        <v>0</v>
      </c>
      <c r="CH103" s="2" t="s">
        <v>152</v>
      </c>
      <c r="CI103" s="2">
        <v>18.5</v>
      </c>
      <c r="CJ103" s="2" t="s">
        <v>139</v>
      </c>
      <c r="CK103" s="2">
        <v>1</v>
      </c>
      <c r="CL103" s="2">
        <v>9.6</v>
      </c>
      <c r="CM103" s="2" t="s">
        <v>519</v>
      </c>
      <c r="CN103" s="2">
        <v>2.9399999999999999E-2</v>
      </c>
      <c r="CO103" s="2">
        <v>2.36</v>
      </c>
      <c r="CP103" s="2">
        <v>2</v>
      </c>
      <c r="CQ103" s="2" t="s">
        <v>137</v>
      </c>
      <c r="CR103" s="2">
        <v>0.45667000000000002</v>
      </c>
      <c r="CS103" s="2">
        <v>0.46167000000000002</v>
      </c>
      <c r="CT103" s="2">
        <v>-5.0000000000000036E-3</v>
      </c>
      <c r="CU103" s="2">
        <v>0.45667000000000002</v>
      </c>
      <c r="CV103" s="2">
        <v>6</v>
      </c>
      <c r="CW103" s="2">
        <v>0.1709</v>
      </c>
      <c r="CX103" s="2">
        <v>0.16049999000000001</v>
      </c>
      <c r="CY103" s="2">
        <v>20.25</v>
      </c>
      <c r="CZ103" s="2">
        <v>4.09</v>
      </c>
      <c r="DA103" s="2" t="s">
        <v>201</v>
      </c>
      <c r="DB103" s="2">
        <v>0</v>
      </c>
      <c r="DC103" s="2">
        <v>1</v>
      </c>
      <c r="DD103" s="2">
        <v>1</v>
      </c>
      <c r="DE103" s="2">
        <v>0</v>
      </c>
      <c r="DF103" s="2">
        <v>0</v>
      </c>
      <c r="DG103" s="2">
        <v>389079000</v>
      </c>
      <c r="DH103" s="2">
        <v>104.45</v>
      </c>
      <c r="DI103" s="2">
        <v>52.3</v>
      </c>
      <c r="DJ103" s="2">
        <v>413409000</v>
      </c>
      <c r="DK103" s="2">
        <v>-24330000</v>
      </c>
      <c r="DL103" s="2">
        <v>139590000</v>
      </c>
      <c r="DM103" s="2">
        <v>2662284032</v>
      </c>
      <c r="DN103" s="2">
        <v>-2522694032</v>
      </c>
      <c r="DO103" s="2">
        <v>0.05</v>
      </c>
      <c r="DP103" s="2">
        <v>51.13</v>
      </c>
      <c r="DQ103" s="2">
        <v>49.68</v>
      </c>
      <c r="DR103" s="2" t="s">
        <v>137</v>
      </c>
      <c r="DS103" s="2">
        <v>20.25</v>
      </c>
      <c r="DT103" s="2">
        <v>4.09</v>
      </c>
      <c r="DU103" s="2" t="s">
        <v>137</v>
      </c>
      <c r="DV103" s="2" t="s">
        <v>137</v>
      </c>
      <c r="DW103" s="2">
        <v>0.96</v>
      </c>
      <c r="DX103" s="2">
        <v>0</v>
      </c>
      <c r="DY103" s="2">
        <v>0</v>
      </c>
      <c r="DZ103" s="2">
        <v>39</v>
      </c>
      <c r="EA103" s="2">
        <v>10</v>
      </c>
      <c r="EB103" s="2">
        <v>1</v>
      </c>
      <c r="EC103" s="2">
        <v>49</v>
      </c>
      <c r="ED103" s="2">
        <v>0</v>
      </c>
    </row>
    <row r="104" spans="1:134" hidden="1" x14ac:dyDescent="0.2">
      <c r="A104" s="2" t="s">
        <v>520</v>
      </c>
      <c r="B104" s="2" t="s">
        <v>521</v>
      </c>
      <c r="C104" s="2" t="s">
        <v>135</v>
      </c>
      <c r="D104" s="2" t="s">
        <v>163</v>
      </c>
      <c r="E104" s="2">
        <v>1297839488</v>
      </c>
      <c r="F104" s="2">
        <v>25.61</v>
      </c>
      <c r="G104" s="2">
        <v>25.53</v>
      </c>
      <c r="H104" s="2">
        <v>25.25</v>
      </c>
      <c r="I104" s="2">
        <v>25.26</v>
      </c>
      <c r="J104" s="2">
        <v>25.24</v>
      </c>
      <c r="K104" s="2">
        <v>25.53</v>
      </c>
      <c r="L104" s="2">
        <v>25.75</v>
      </c>
      <c r="M104" s="2">
        <v>25.58</v>
      </c>
      <c r="N104" s="2">
        <v>25.5</v>
      </c>
      <c r="O104" s="2">
        <v>25.51</v>
      </c>
      <c r="P104" s="2">
        <v>0.4</v>
      </c>
      <c r="Q104" s="2">
        <v>24.95</v>
      </c>
      <c r="R104" s="2">
        <v>26.35</v>
      </c>
      <c r="S104" s="2">
        <v>25.53</v>
      </c>
      <c r="T104" s="2">
        <v>0.1</v>
      </c>
      <c r="U104" s="2">
        <v>24.81</v>
      </c>
      <c r="V104" s="2">
        <v>25.15</v>
      </c>
      <c r="W104" s="2">
        <v>24.9</v>
      </c>
      <c r="X104" s="2">
        <v>22.65</v>
      </c>
      <c r="Y104" s="2">
        <v>25.72</v>
      </c>
      <c r="Z104" s="2">
        <v>26.05</v>
      </c>
      <c r="AA104" s="2" t="s">
        <v>137</v>
      </c>
      <c r="AB104" s="2">
        <v>442000</v>
      </c>
      <c r="AC104" s="2">
        <v>404000</v>
      </c>
      <c r="AD104" s="2">
        <v>361600</v>
      </c>
      <c r="AE104" s="2">
        <v>381400</v>
      </c>
      <c r="AF104" s="2">
        <v>472500</v>
      </c>
      <c r="AG104" s="2">
        <f>AVERAGE(AB104:AF104)</f>
        <v>412300</v>
      </c>
      <c r="AH104" s="2">
        <v>0</v>
      </c>
      <c r="AI104" s="2">
        <v>1</v>
      </c>
      <c r="AJ104" s="2">
        <v>1</v>
      </c>
      <c r="AK104" s="2">
        <v>0</v>
      </c>
      <c r="AL104" s="2">
        <v>1</v>
      </c>
      <c r="AM104" s="2">
        <v>0</v>
      </c>
      <c r="AN104" s="2">
        <v>0</v>
      </c>
      <c r="AO104" s="2">
        <v>1</v>
      </c>
      <c r="AP104" s="2">
        <v>0</v>
      </c>
      <c r="AQ104" s="2">
        <v>0</v>
      </c>
      <c r="AR104" s="2">
        <v>1</v>
      </c>
      <c r="AS104" s="2">
        <v>16.71</v>
      </c>
      <c r="AT104" s="2">
        <v>25.91</v>
      </c>
      <c r="AU104" s="2">
        <v>95.7</v>
      </c>
      <c r="AV104" s="2">
        <v>4.3</v>
      </c>
      <c r="AW104" s="2">
        <v>1</v>
      </c>
      <c r="AX104" s="2">
        <v>0</v>
      </c>
      <c r="AY104" s="2">
        <v>57.4</v>
      </c>
      <c r="AZ104" s="2">
        <v>51.3</v>
      </c>
      <c r="BA104" s="2">
        <v>56.3</v>
      </c>
      <c r="BB104" s="2">
        <v>57.1</v>
      </c>
      <c r="BC104" s="2">
        <v>55.5</v>
      </c>
      <c r="BD104" s="2">
        <v>0</v>
      </c>
      <c r="BE104" s="2">
        <v>48.7</v>
      </c>
      <c r="BF104" s="2">
        <v>40.799999999999997</v>
      </c>
      <c r="BG104" s="2">
        <v>0</v>
      </c>
      <c r="BH104" s="2">
        <v>0</v>
      </c>
      <c r="BI104" s="2">
        <v>14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 t="s">
        <v>137</v>
      </c>
      <c r="BV104" s="2">
        <v>27.5</v>
      </c>
      <c r="BW104" s="2">
        <v>30</v>
      </c>
      <c r="BX104" s="2">
        <v>25</v>
      </c>
      <c r="BY104" s="2">
        <v>3</v>
      </c>
      <c r="BZ104" s="2">
        <v>2</v>
      </c>
      <c r="CA104" s="2">
        <v>1</v>
      </c>
      <c r="CB104" s="2">
        <v>0</v>
      </c>
      <c r="CC104" s="2">
        <v>0</v>
      </c>
      <c r="CD104" s="2">
        <v>6</v>
      </c>
      <c r="CE104" s="2">
        <v>5</v>
      </c>
      <c r="CF104" s="2">
        <v>1</v>
      </c>
      <c r="CG104" s="2">
        <v>0</v>
      </c>
      <c r="CH104" s="2" t="s">
        <v>152</v>
      </c>
      <c r="CI104" s="2">
        <v>7.8</v>
      </c>
      <c r="CJ104" s="2" t="s">
        <v>139</v>
      </c>
      <c r="CK104" s="2">
        <v>1</v>
      </c>
      <c r="CL104" s="2">
        <v>27.5</v>
      </c>
      <c r="CM104" s="2" t="s">
        <v>522</v>
      </c>
      <c r="CN104" s="2">
        <v>4.0799997999999997E-2</v>
      </c>
      <c r="CO104" s="2">
        <v>5.1100000000000003</v>
      </c>
      <c r="CP104" s="2">
        <v>4</v>
      </c>
      <c r="CQ104" s="2" t="s">
        <v>137</v>
      </c>
      <c r="CR104" s="2">
        <v>0.57667000000000002</v>
      </c>
      <c r="CS104" s="2">
        <v>0.57199999999999995</v>
      </c>
      <c r="CT104" s="2">
        <v>4.670000000000063E-3</v>
      </c>
      <c r="CU104" s="2">
        <v>0.57667000000000002</v>
      </c>
      <c r="CV104" s="2">
        <v>6</v>
      </c>
      <c r="CW104" s="2">
        <v>8.8099999999999998E-2</v>
      </c>
      <c r="CX104" s="2">
        <v>6.9599999999999995E-2</v>
      </c>
      <c r="CY104" s="2">
        <v>14.75</v>
      </c>
      <c r="CZ104" s="2">
        <v>10.69</v>
      </c>
      <c r="DA104" s="2" t="s">
        <v>177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117759000</v>
      </c>
      <c r="DH104" s="2">
        <v>9.07</v>
      </c>
      <c r="DI104" s="2">
        <v>34.5</v>
      </c>
      <c r="DJ104" s="2">
        <v>122264000</v>
      </c>
      <c r="DK104" s="2">
        <v>-4505000</v>
      </c>
      <c r="DL104" s="2">
        <v>147188992</v>
      </c>
      <c r="DM104" s="2">
        <v>469150016</v>
      </c>
      <c r="DN104" s="2">
        <v>-321961024</v>
      </c>
      <c r="DO104" s="2">
        <v>0.31</v>
      </c>
      <c r="DP104" s="2" t="s">
        <v>137</v>
      </c>
      <c r="DQ104" s="2" t="s">
        <v>137</v>
      </c>
      <c r="DR104" s="2">
        <v>1.51</v>
      </c>
      <c r="DS104" s="2">
        <v>14.75</v>
      </c>
      <c r="DT104" s="2">
        <v>10.69</v>
      </c>
      <c r="DU104" s="2">
        <v>1.51</v>
      </c>
      <c r="DV104" s="2" t="s">
        <v>137</v>
      </c>
      <c r="DW104" s="2">
        <v>11.02</v>
      </c>
      <c r="DX104" s="2">
        <v>0.27</v>
      </c>
      <c r="DY104" s="2">
        <v>0</v>
      </c>
      <c r="DZ104" s="2">
        <v>36</v>
      </c>
      <c r="EA104" s="2">
        <v>10</v>
      </c>
      <c r="EB104" s="2">
        <v>1</v>
      </c>
      <c r="EC104" s="2">
        <v>46</v>
      </c>
      <c r="ED104" s="2">
        <v>0</v>
      </c>
    </row>
    <row r="105" spans="1:134" hidden="1" x14ac:dyDescent="0.2">
      <c r="A105" s="2" t="s">
        <v>523</v>
      </c>
      <c r="B105" s="2" t="s">
        <v>524</v>
      </c>
      <c r="C105" s="2" t="s">
        <v>186</v>
      </c>
      <c r="D105" s="2" t="s">
        <v>318</v>
      </c>
      <c r="E105" s="2">
        <v>545069120</v>
      </c>
      <c r="F105" s="2">
        <v>8.5500000000000007</v>
      </c>
      <c r="G105" s="2">
        <v>8.31</v>
      </c>
      <c r="H105" s="2">
        <v>8.33</v>
      </c>
      <c r="I105" s="2">
        <v>8.3000000000000007</v>
      </c>
      <c r="J105" s="2">
        <v>8.2899999999999991</v>
      </c>
      <c r="K105" s="2">
        <v>8.32</v>
      </c>
      <c r="L105" s="2">
        <v>8.49</v>
      </c>
      <c r="M105" s="2">
        <v>8.41</v>
      </c>
      <c r="N105" s="2">
        <v>8.32</v>
      </c>
      <c r="O105" s="2">
        <v>8.32</v>
      </c>
      <c r="P105" s="2">
        <v>0.28000000000000003</v>
      </c>
      <c r="Q105" s="2">
        <v>7.96</v>
      </c>
      <c r="R105" s="2">
        <v>8.8699999999999992</v>
      </c>
      <c r="S105" s="2">
        <v>8.32</v>
      </c>
      <c r="T105" s="2">
        <v>0</v>
      </c>
      <c r="U105" s="2">
        <v>7.63</v>
      </c>
      <c r="V105" s="2">
        <v>8.1</v>
      </c>
      <c r="W105" s="2">
        <v>7.95</v>
      </c>
      <c r="X105" s="2">
        <v>7.87</v>
      </c>
      <c r="Y105" s="2">
        <v>8.4</v>
      </c>
      <c r="Z105" s="2">
        <v>8.64</v>
      </c>
      <c r="AA105" s="2">
        <v>8.9499999999999993</v>
      </c>
      <c r="AB105" s="2">
        <v>344700</v>
      </c>
      <c r="AC105" s="2">
        <v>310300</v>
      </c>
      <c r="AD105" s="2">
        <v>356100</v>
      </c>
      <c r="AE105" s="2">
        <v>437000</v>
      </c>
      <c r="AF105" s="2">
        <v>327600</v>
      </c>
      <c r="AG105" s="2">
        <f>AVERAGE(AB105:AF105)</f>
        <v>355140</v>
      </c>
      <c r="AH105" s="2">
        <v>0</v>
      </c>
      <c r="AI105" s="2">
        <v>0</v>
      </c>
      <c r="AJ105" s="2">
        <v>1</v>
      </c>
      <c r="AK105" s="2">
        <v>0</v>
      </c>
      <c r="AL105" s="2">
        <v>1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1</v>
      </c>
      <c r="AS105" s="2">
        <v>4.5599999999999996</v>
      </c>
      <c r="AT105" s="2">
        <v>9.35</v>
      </c>
      <c r="AU105" s="2">
        <v>78.599999999999994</v>
      </c>
      <c r="AV105" s="2">
        <v>21.4</v>
      </c>
      <c r="AW105" s="2">
        <v>0</v>
      </c>
      <c r="AX105" s="2">
        <v>0</v>
      </c>
      <c r="AY105" s="2">
        <v>59.6</v>
      </c>
      <c r="AZ105" s="2">
        <v>59.3</v>
      </c>
      <c r="BA105" s="2">
        <v>59.7</v>
      </c>
      <c r="BB105" s="2">
        <v>61.6</v>
      </c>
      <c r="BC105" s="2">
        <v>58.8</v>
      </c>
      <c r="BD105" s="2">
        <v>0</v>
      </c>
      <c r="BE105" s="2">
        <v>34.5</v>
      </c>
      <c r="BF105" s="2">
        <v>33.700000000000003</v>
      </c>
      <c r="BG105" s="2">
        <v>0</v>
      </c>
      <c r="BH105" s="2">
        <v>0</v>
      </c>
      <c r="BI105" s="2">
        <v>19.5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 t="s">
        <v>137</v>
      </c>
      <c r="BV105" s="2">
        <v>10.85</v>
      </c>
      <c r="BW105" s="2">
        <v>11.5</v>
      </c>
      <c r="BX105" s="2">
        <v>10.25</v>
      </c>
      <c r="BY105" s="2">
        <v>0</v>
      </c>
      <c r="BZ105" s="2">
        <v>3</v>
      </c>
      <c r="CA105" s="2">
        <v>0</v>
      </c>
      <c r="CB105" s="2">
        <v>0</v>
      </c>
      <c r="CC105" s="2">
        <v>0</v>
      </c>
      <c r="CD105" s="2">
        <v>3</v>
      </c>
      <c r="CE105" s="2">
        <v>3</v>
      </c>
      <c r="CF105" s="2">
        <v>0</v>
      </c>
      <c r="CG105" s="2">
        <v>0</v>
      </c>
      <c r="CH105" s="2" t="s">
        <v>152</v>
      </c>
      <c r="CI105" s="2">
        <v>30.3</v>
      </c>
      <c r="CJ105" s="2" t="s">
        <v>139</v>
      </c>
      <c r="CK105" s="2">
        <v>1</v>
      </c>
      <c r="CL105" s="2">
        <v>10.85</v>
      </c>
      <c r="CM105" s="2" t="s">
        <v>353</v>
      </c>
      <c r="CN105" s="2">
        <v>2.98E-2</v>
      </c>
      <c r="CO105" s="2">
        <v>2.6</v>
      </c>
      <c r="CP105" s="2">
        <v>2</v>
      </c>
      <c r="CQ105" s="2" t="s">
        <v>137</v>
      </c>
      <c r="CR105" s="2">
        <v>0.30499999999999999</v>
      </c>
      <c r="CS105" s="2">
        <v>0.25</v>
      </c>
      <c r="CT105" s="2">
        <v>5.4999999999999993E-2</v>
      </c>
      <c r="CU105" s="2">
        <v>0.30499999999999999</v>
      </c>
      <c r="CV105" s="2">
        <v>2</v>
      </c>
      <c r="CW105" s="2">
        <v>0.79410004999999995</v>
      </c>
      <c r="CX105" s="2">
        <v>2.2593000000000001</v>
      </c>
      <c r="CY105" s="2">
        <v>11.4</v>
      </c>
      <c r="CZ105" s="2">
        <v>7.57</v>
      </c>
      <c r="DA105" s="2" t="s">
        <v>148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47239000</v>
      </c>
      <c r="DH105" s="2">
        <v>8.67</v>
      </c>
      <c r="DI105" s="2">
        <v>6.65</v>
      </c>
      <c r="DJ105" s="2">
        <v>53726000</v>
      </c>
      <c r="DK105" s="2">
        <v>-6487000</v>
      </c>
      <c r="DL105" s="2">
        <v>105675000</v>
      </c>
      <c r="DM105" s="2">
        <v>349487008</v>
      </c>
      <c r="DN105" s="2">
        <v>-243812008</v>
      </c>
      <c r="DO105" s="2">
        <v>0.3</v>
      </c>
      <c r="DP105" s="2">
        <v>1.38</v>
      </c>
      <c r="DQ105" s="2">
        <v>0.95</v>
      </c>
      <c r="DR105" s="2" t="s">
        <v>137</v>
      </c>
      <c r="DS105" s="2">
        <v>11.4</v>
      </c>
      <c r="DT105" s="2">
        <v>7.57</v>
      </c>
      <c r="DU105" s="2" t="s">
        <v>137</v>
      </c>
      <c r="DV105" s="2">
        <v>7.6</v>
      </c>
      <c r="DW105" s="2">
        <v>11.54</v>
      </c>
      <c r="DX105" s="2">
        <v>1.01</v>
      </c>
      <c r="DY105" s="2">
        <v>0</v>
      </c>
      <c r="DZ105" s="2">
        <v>42</v>
      </c>
      <c r="EA105" s="2">
        <v>20</v>
      </c>
      <c r="EB105" s="2">
        <v>2</v>
      </c>
      <c r="EC105" s="2">
        <v>62</v>
      </c>
      <c r="ED105" s="2">
        <v>0</v>
      </c>
    </row>
    <row r="106" spans="1:134" hidden="1" x14ac:dyDescent="0.2">
      <c r="A106" s="2" t="s">
        <v>142</v>
      </c>
      <c r="B106" s="2" t="s">
        <v>143</v>
      </c>
      <c r="C106" s="2" t="s">
        <v>144</v>
      </c>
      <c r="D106" s="2" t="s">
        <v>145</v>
      </c>
      <c r="E106" s="2">
        <v>1324178432</v>
      </c>
      <c r="F106" s="2">
        <v>33.450000000000003</v>
      </c>
      <c r="G106" s="2">
        <v>33.729999999999997</v>
      </c>
      <c r="H106" s="2">
        <v>33.67</v>
      </c>
      <c r="I106" s="2">
        <v>34.36</v>
      </c>
      <c r="J106" s="2">
        <v>34.450000000000003</v>
      </c>
      <c r="K106" s="2">
        <v>33.049999999999997</v>
      </c>
      <c r="L106" s="2">
        <v>33.68</v>
      </c>
      <c r="M106" s="2">
        <v>33.340000000000003</v>
      </c>
      <c r="N106" s="2">
        <v>33.630000000000003</v>
      </c>
      <c r="O106" s="2">
        <v>34.19</v>
      </c>
      <c r="P106" s="2">
        <v>1.36</v>
      </c>
      <c r="Q106" s="2">
        <v>32.32</v>
      </c>
      <c r="R106" s="2">
        <v>36.99</v>
      </c>
      <c r="S106" s="2">
        <v>34.18</v>
      </c>
      <c r="T106" s="2">
        <v>0</v>
      </c>
      <c r="U106" s="2">
        <v>33.85</v>
      </c>
      <c r="V106" s="2">
        <v>33</v>
      </c>
      <c r="W106" s="2">
        <v>32.549999999999997</v>
      </c>
      <c r="X106" s="2">
        <v>32.03</v>
      </c>
      <c r="Y106" s="2">
        <v>34.81</v>
      </c>
      <c r="Z106" s="2">
        <v>35.549999999999997</v>
      </c>
      <c r="AA106" s="2">
        <v>35.909999999999997</v>
      </c>
      <c r="AB106" s="2">
        <v>495000</v>
      </c>
      <c r="AC106" s="2">
        <v>381200</v>
      </c>
      <c r="AD106" s="2">
        <v>667400</v>
      </c>
      <c r="AE106" s="2">
        <v>480400</v>
      </c>
      <c r="AF106" s="2">
        <v>523700</v>
      </c>
      <c r="AG106" s="2">
        <f>AVERAGE(AB106:AF106)</f>
        <v>509540</v>
      </c>
      <c r="AH106" s="2">
        <v>1</v>
      </c>
      <c r="AI106" s="2">
        <v>1</v>
      </c>
      <c r="AJ106" s="2">
        <v>0</v>
      </c>
      <c r="AK106" s="2">
        <v>0</v>
      </c>
      <c r="AL106" s="2">
        <v>1</v>
      </c>
      <c r="AM106" s="2">
        <v>0</v>
      </c>
      <c r="AN106" s="2">
        <v>0</v>
      </c>
      <c r="AO106" s="2">
        <v>0</v>
      </c>
      <c r="AP106" s="2">
        <v>0</v>
      </c>
      <c r="AQ106" s="2">
        <v>1</v>
      </c>
      <c r="AR106" s="2">
        <v>1</v>
      </c>
      <c r="AS106" s="2">
        <v>15.1</v>
      </c>
      <c r="AT106" s="2">
        <v>36.6</v>
      </c>
      <c r="AU106" s="2">
        <v>88.8</v>
      </c>
      <c r="AV106" s="2">
        <v>11.2</v>
      </c>
      <c r="AW106" s="2">
        <v>0</v>
      </c>
      <c r="AX106" s="2">
        <v>1</v>
      </c>
      <c r="AY106" s="2">
        <v>48.8</v>
      </c>
      <c r="AZ106" s="2">
        <v>52.6</v>
      </c>
      <c r="BA106" s="2">
        <v>45.1</v>
      </c>
      <c r="BB106" s="2">
        <v>46.9</v>
      </c>
      <c r="BC106" s="2">
        <v>51.9</v>
      </c>
      <c r="BD106" s="2">
        <v>0</v>
      </c>
      <c r="BE106" s="2">
        <v>28.7</v>
      </c>
      <c r="BF106" s="2">
        <v>29.7</v>
      </c>
      <c r="BG106" s="2">
        <v>0</v>
      </c>
      <c r="BH106" s="2">
        <v>0</v>
      </c>
      <c r="BI106" s="2">
        <v>13.9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2.5555599999999998</v>
      </c>
      <c r="BV106" s="2">
        <v>35.857140000000001</v>
      </c>
      <c r="BW106" s="2">
        <v>40</v>
      </c>
      <c r="BX106" s="2">
        <v>26</v>
      </c>
      <c r="BY106" s="2">
        <v>1</v>
      </c>
      <c r="BZ106" s="2">
        <v>2</v>
      </c>
      <c r="CA106" s="2">
        <v>5</v>
      </c>
      <c r="CB106" s="2">
        <v>0</v>
      </c>
      <c r="CC106" s="2">
        <v>1</v>
      </c>
      <c r="CD106" s="2">
        <v>9</v>
      </c>
      <c r="CE106" s="2">
        <v>3</v>
      </c>
      <c r="CF106" s="2">
        <v>5</v>
      </c>
      <c r="CG106" s="2">
        <v>1</v>
      </c>
      <c r="CH106" s="2" t="s">
        <v>146</v>
      </c>
      <c r="CI106" s="2">
        <v>4.9000000000000004</v>
      </c>
      <c r="CJ106" s="2" t="s">
        <v>139</v>
      </c>
      <c r="CK106" s="2">
        <v>0</v>
      </c>
      <c r="CL106" s="2">
        <v>36.14</v>
      </c>
      <c r="CM106" s="2" t="s">
        <v>147</v>
      </c>
      <c r="CN106" s="2">
        <v>0.1047</v>
      </c>
      <c r="CO106" s="2">
        <v>4.6500000000000004</v>
      </c>
      <c r="CP106" s="2">
        <v>0</v>
      </c>
      <c r="CQ106" s="2" t="s">
        <v>137</v>
      </c>
      <c r="CR106" s="2">
        <v>0.22861999999999999</v>
      </c>
      <c r="CS106" s="2">
        <v>0.23469000000000001</v>
      </c>
      <c r="CT106" s="2">
        <v>-6.0700000000000198E-3</v>
      </c>
      <c r="CU106" s="2">
        <v>0.22861999999999999</v>
      </c>
      <c r="CV106" s="2">
        <v>9</v>
      </c>
      <c r="CW106" s="2">
        <v>-0.4138</v>
      </c>
      <c r="CX106" s="2">
        <v>1.4172</v>
      </c>
      <c r="CY106" s="2">
        <v>12.71</v>
      </c>
      <c r="CZ106" s="2">
        <v>36.5</v>
      </c>
      <c r="DA106" s="2" t="s">
        <v>148</v>
      </c>
      <c r="DB106" s="2">
        <v>0</v>
      </c>
      <c r="DC106" s="2">
        <v>1</v>
      </c>
      <c r="DD106" s="2">
        <v>0.5</v>
      </c>
      <c r="DE106" s="2">
        <v>0</v>
      </c>
      <c r="DF106" s="2">
        <v>0</v>
      </c>
      <c r="DG106" s="2">
        <v>233828000</v>
      </c>
      <c r="DH106" s="2">
        <v>17.66</v>
      </c>
      <c r="DI106" s="2">
        <v>6.81</v>
      </c>
      <c r="DJ106" s="2">
        <v>269457000</v>
      </c>
      <c r="DK106" s="2">
        <v>-35629000</v>
      </c>
      <c r="DL106" s="2">
        <v>361836000</v>
      </c>
      <c r="DM106" s="2">
        <v>775809984</v>
      </c>
      <c r="DN106" s="2">
        <v>-413973984</v>
      </c>
      <c r="DO106" s="2">
        <v>0.47</v>
      </c>
      <c r="DP106" s="2">
        <v>1.1299999999999999</v>
      </c>
      <c r="DQ106" s="2">
        <v>1.03</v>
      </c>
      <c r="DR106" s="2">
        <v>1.22</v>
      </c>
      <c r="DS106" s="2">
        <v>12.71</v>
      </c>
      <c r="DT106" s="2">
        <v>36.5</v>
      </c>
      <c r="DU106" s="2">
        <v>1.22</v>
      </c>
      <c r="DV106" s="2">
        <v>5.55</v>
      </c>
      <c r="DW106" s="2">
        <v>5.66</v>
      </c>
      <c r="DX106" s="2">
        <v>0.49</v>
      </c>
      <c r="DY106" s="2">
        <v>0</v>
      </c>
      <c r="DZ106" s="2">
        <v>24</v>
      </c>
      <c r="EA106" s="2">
        <v>20</v>
      </c>
      <c r="EB106" s="2">
        <v>2</v>
      </c>
      <c r="EC106" s="2">
        <v>44</v>
      </c>
      <c r="ED106" s="2">
        <v>0</v>
      </c>
    </row>
    <row r="107" spans="1:134" hidden="1" x14ac:dyDescent="0.2">
      <c r="A107" s="2" t="s">
        <v>537</v>
      </c>
      <c r="B107" s="2" t="s">
        <v>538</v>
      </c>
      <c r="C107" s="2" t="s">
        <v>144</v>
      </c>
      <c r="D107" s="2" t="s">
        <v>508</v>
      </c>
      <c r="E107" s="2">
        <v>223183440</v>
      </c>
      <c r="F107" s="2">
        <v>2.66</v>
      </c>
      <c r="G107" s="2">
        <v>2.65</v>
      </c>
      <c r="H107" s="2">
        <v>2.68</v>
      </c>
      <c r="I107" s="2">
        <v>2.67</v>
      </c>
      <c r="J107" s="2">
        <v>2.66</v>
      </c>
      <c r="K107" s="2">
        <v>2.73</v>
      </c>
      <c r="L107" s="2">
        <v>2.74</v>
      </c>
      <c r="M107" s="2">
        <v>2.64</v>
      </c>
      <c r="N107" s="2">
        <v>2.63</v>
      </c>
      <c r="O107" s="2">
        <v>2.77</v>
      </c>
      <c r="P107" s="2">
        <v>0.1</v>
      </c>
      <c r="Q107" s="2">
        <v>2.5499999999999998</v>
      </c>
      <c r="R107" s="2">
        <v>3.1</v>
      </c>
      <c r="S107" s="2">
        <v>2.77</v>
      </c>
      <c r="T107" s="2">
        <v>0.2</v>
      </c>
      <c r="U107" s="2">
        <v>2.44</v>
      </c>
      <c r="V107" s="2">
        <v>2.6</v>
      </c>
      <c r="W107" s="2">
        <v>2.57</v>
      </c>
      <c r="X107" s="2">
        <v>2.31</v>
      </c>
      <c r="Y107" s="2" t="s">
        <v>137</v>
      </c>
      <c r="Z107" s="2" t="s">
        <v>137</v>
      </c>
      <c r="AA107" s="2" t="s">
        <v>137</v>
      </c>
      <c r="AB107" s="2">
        <v>908300</v>
      </c>
      <c r="AC107" s="2">
        <v>580000</v>
      </c>
      <c r="AD107" s="2">
        <v>782300</v>
      </c>
      <c r="AE107" s="2">
        <v>645400</v>
      </c>
      <c r="AF107" s="2">
        <v>950100</v>
      </c>
      <c r="AG107" s="2">
        <f>AVERAGE(AB107:AF107)</f>
        <v>773220</v>
      </c>
      <c r="AH107" s="2">
        <v>0</v>
      </c>
      <c r="AI107" s="2">
        <v>0</v>
      </c>
      <c r="AJ107" s="2">
        <v>1</v>
      </c>
      <c r="AK107" s="2">
        <v>0</v>
      </c>
      <c r="AL107" s="2">
        <v>1</v>
      </c>
      <c r="AM107" s="2">
        <v>0</v>
      </c>
      <c r="AN107" s="2">
        <v>0</v>
      </c>
      <c r="AO107" s="2">
        <v>1</v>
      </c>
      <c r="AP107" s="2">
        <v>0</v>
      </c>
      <c r="AQ107" s="2">
        <v>1</v>
      </c>
      <c r="AR107" s="2">
        <v>1</v>
      </c>
      <c r="AS107" s="2">
        <v>1.67</v>
      </c>
      <c r="AT107" s="2">
        <v>3.15</v>
      </c>
      <c r="AU107" s="2">
        <v>74.3</v>
      </c>
      <c r="AV107" s="2">
        <v>25.7</v>
      </c>
      <c r="AW107" s="2">
        <v>0</v>
      </c>
      <c r="AX107" s="2">
        <v>0</v>
      </c>
      <c r="AY107" s="2">
        <v>63.7</v>
      </c>
      <c r="AZ107" s="2">
        <v>64.8</v>
      </c>
      <c r="BA107" s="2">
        <v>68.099999999999994</v>
      </c>
      <c r="BB107" s="2">
        <v>59.3</v>
      </c>
      <c r="BC107" s="2">
        <v>66.099999999999994</v>
      </c>
      <c r="BD107" s="2">
        <v>0</v>
      </c>
      <c r="BE107" s="2">
        <v>76.900000000000006</v>
      </c>
      <c r="BF107" s="2">
        <v>83.4</v>
      </c>
      <c r="BG107" s="2">
        <v>0</v>
      </c>
      <c r="BH107" s="2">
        <v>0</v>
      </c>
      <c r="BI107" s="2">
        <v>41.9</v>
      </c>
      <c r="BJ107" s="2">
        <v>1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1</v>
      </c>
      <c r="BV107" s="2">
        <v>11</v>
      </c>
      <c r="BW107" s="2">
        <v>12</v>
      </c>
      <c r="BX107" s="2">
        <v>10</v>
      </c>
      <c r="BY107" s="2">
        <v>0</v>
      </c>
      <c r="BZ107" s="2">
        <v>1</v>
      </c>
      <c r="CA107" s="2">
        <v>0</v>
      </c>
      <c r="CB107" s="2">
        <v>0</v>
      </c>
      <c r="CC107" s="2">
        <v>0</v>
      </c>
      <c r="CD107" s="2">
        <v>1</v>
      </c>
      <c r="CE107" s="2">
        <v>1</v>
      </c>
      <c r="CF107" s="2">
        <v>0</v>
      </c>
      <c r="CG107" s="2">
        <v>0</v>
      </c>
      <c r="CH107" s="2" t="s">
        <v>268</v>
      </c>
      <c r="CI107" s="2">
        <v>297.10000000000002</v>
      </c>
      <c r="CJ107" s="2" t="s">
        <v>237</v>
      </c>
      <c r="CK107" s="2">
        <v>0</v>
      </c>
      <c r="CL107" s="2">
        <v>11</v>
      </c>
      <c r="CM107" s="2" t="s">
        <v>315</v>
      </c>
      <c r="CN107" s="2">
        <v>4.0900002999999997E-2</v>
      </c>
      <c r="CO107" s="2">
        <v>3.83</v>
      </c>
      <c r="CP107" s="2">
        <v>0</v>
      </c>
      <c r="CQ107" s="2" t="s">
        <v>137</v>
      </c>
      <c r="CR107" s="2">
        <v>-0.02</v>
      </c>
      <c r="CS107" s="2">
        <v>-0.01</v>
      </c>
      <c r="CT107" s="2">
        <v>-0.01</v>
      </c>
      <c r="CU107" s="2">
        <v>-0.02</v>
      </c>
      <c r="CV107" s="2">
        <v>2</v>
      </c>
      <c r="CW107" s="2">
        <v>-1.6667000000000001</v>
      </c>
      <c r="CX107" s="2">
        <v>4</v>
      </c>
      <c r="CY107" s="2">
        <v>12.04</v>
      </c>
      <c r="CZ107" s="2">
        <v>4.47</v>
      </c>
      <c r="DA107" s="2" t="s">
        <v>282</v>
      </c>
      <c r="DB107" s="2">
        <v>0</v>
      </c>
      <c r="DC107" s="2">
        <v>1</v>
      </c>
      <c r="DD107" s="2">
        <v>1</v>
      </c>
      <c r="DE107" s="2">
        <v>0</v>
      </c>
      <c r="DF107" s="2">
        <v>0</v>
      </c>
      <c r="DG107" s="2">
        <v>-13631000</v>
      </c>
      <c r="DH107" s="2">
        <v>-6.11</v>
      </c>
      <c r="DI107" s="2">
        <v>-16.91</v>
      </c>
      <c r="DJ107" s="2">
        <v>-11993000</v>
      </c>
      <c r="DK107" s="2">
        <v>-1638000</v>
      </c>
      <c r="DL107" s="2">
        <v>40656000</v>
      </c>
      <c r="DM107" s="2">
        <v>9207000</v>
      </c>
      <c r="DN107" s="2">
        <v>31449000</v>
      </c>
      <c r="DO107" s="2">
        <v>4.42</v>
      </c>
      <c r="DP107" s="2">
        <v>2.94</v>
      </c>
      <c r="DQ107" s="2">
        <v>1.82</v>
      </c>
      <c r="DR107" s="2" t="s">
        <v>137</v>
      </c>
      <c r="DS107" s="2">
        <v>12.04</v>
      </c>
      <c r="DT107" s="2">
        <v>4.47</v>
      </c>
      <c r="DU107" s="2" t="s">
        <v>137</v>
      </c>
      <c r="DV107" s="2">
        <v>7.71</v>
      </c>
      <c r="DW107" s="2" t="s">
        <v>137</v>
      </c>
      <c r="DX107" s="2">
        <v>0</v>
      </c>
      <c r="DY107" s="2">
        <v>0</v>
      </c>
      <c r="DZ107" s="2">
        <v>24</v>
      </c>
      <c r="EA107" s="2">
        <v>20</v>
      </c>
      <c r="EB107" s="2">
        <v>2</v>
      </c>
      <c r="EC107" s="2">
        <v>44</v>
      </c>
      <c r="ED107" s="2">
        <v>0</v>
      </c>
    </row>
    <row r="108" spans="1:134" hidden="1" x14ac:dyDescent="0.2">
      <c r="A108" s="2" t="s">
        <v>531</v>
      </c>
      <c r="B108" s="2" t="s">
        <v>532</v>
      </c>
      <c r="C108" s="2" t="s">
        <v>135</v>
      </c>
      <c r="D108" s="2" t="s">
        <v>163</v>
      </c>
      <c r="E108" s="2">
        <v>1433739008</v>
      </c>
      <c r="F108" s="2">
        <v>39.93</v>
      </c>
      <c r="G108" s="2">
        <v>39.82</v>
      </c>
      <c r="H108" s="2">
        <v>39.549999999999997</v>
      </c>
      <c r="I108" s="2">
        <v>39.380000000000003</v>
      </c>
      <c r="J108" s="2">
        <v>39.380000000000003</v>
      </c>
      <c r="K108" s="2">
        <v>39.76</v>
      </c>
      <c r="L108" s="2">
        <v>40.07</v>
      </c>
      <c r="M108" s="2">
        <v>39.81</v>
      </c>
      <c r="N108" s="2">
        <v>39.799999999999997</v>
      </c>
      <c r="O108" s="2">
        <v>39.89</v>
      </c>
      <c r="P108" s="2">
        <v>0.55000000000000004</v>
      </c>
      <c r="Q108" s="2">
        <v>39.270000000000003</v>
      </c>
      <c r="R108" s="2">
        <v>40.82</v>
      </c>
      <c r="S108" s="2">
        <v>39.9</v>
      </c>
      <c r="T108" s="2">
        <v>0</v>
      </c>
      <c r="U108" s="2">
        <v>40.049999999999997</v>
      </c>
      <c r="V108" s="2">
        <v>39.54</v>
      </c>
      <c r="W108" s="2">
        <v>38.99</v>
      </c>
      <c r="X108" s="2">
        <v>37.53</v>
      </c>
      <c r="Y108" s="2">
        <v>40.270000000000003</v>
      </c>
      <c r="Z108" s="2">
        <v>42.06</v>
      </c>
      <c r="AA108" s="2" t="s">
        <v>137</v>
      </c>
      <c r="AB108" s="2">
        <v>249200</v>
      </c>
      <c r="AC108" s="2">
        <v>210200</v>
      </c>
      <c r="AD108" s="2">
        <v>154500</v>
      </c>
      <c r="AE108" s="2">
        <v>129000</v>
      </c>
      <c r="AF108" s="2">
        <v>229100</v>
      </c>
      <c r="AG108" s="2">
        <f>AVERAGE(AB108:AF108)</f>
        <v>194400</v>
      </c>
      <c r="AH108" s="2">
        <v>0</v>
      </c>
      <c r="AI108" s="2">
        <v>0</v>
      </c>
      <c r="AJ108" s="2">
        <v>1</v>
      </c>
      <c r="AK108" s="2">
        <v>0</v>
      </c>
      <c r="AL108" s="2">
        <v>1</v>
      </c>
      <c r="AM108" s="2">
        <v>0</v>
      </c>
      <c r="AN108" s="2">
        <v>0</v>
      </c>
      <c r="AO108" s="2">
        <v>1</v>
      </c>
      <c r="AP108" s="2">
        <v>0</v>
      </c>
      <c r="AQ108" s="2">
        <v>0</v>
      </c>
      <c r="AR108" s="2">
        <v>0</v>
      </c>
      <c r="AS108" s="2">
        <v>27.67</v>
      </c>
      <c r="AT108" s="2">
        <v>42.23</v>
      </c>
      <c r="AU108" s="2">
        <v>83.9</v>
      </c>
      <c r="AV108" s="2">
        <v>16.100000000000001</v>
      </c>
      <c r="AW108" s="2">
        <v>0</v>
      </c>
      <c r="AX108" s="2">
        <v>1</v>
      </c>
      <c r="AY108" s="2">
        <v>48.2</v>
      </c>
      <c r="AZ108" s="2">
        <v>42.8</v>
      </c>
      <c r="BA108" s="2">
        <v>48.2</v>
      </c>
      <c r="BB108" s="2">
        <v>48.9</v>
      </c>
      <c r="BC108" s="2">
        <v>50</v>
      </c>
      <c r="BD108" s="2">
        <v>0</v>
      </c>
      <c r="BE108" s="2">
        <v>89.3</v>
      </c>
      <c r="BF108" s="2">
        <v>77</v>
      </c>
      <c r="BG108" s="2">
        <v>0</v>
      </c>
      <c r="BH108" s="2">
        <v>0</v>
      </c>
      <c r="BI108" s="2">
        <v>14.7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 t="s">
        <v>137</v>
      </c>
      <c r="BV108" s="2">
        <v>43</v>
      </c>
      <c r="BW108" s="2">
        <v>46</v>
      </c>
      <c r="BX108" s="2">
        <v>42</v>
      </c>
      <c r="BY108" s="2">
        <v>1</v>
      </c>
      <c r="BZ108" s="2">
        <v>1</v>
      </c>
      <c r="CA108" s="2">
        <v>5</v>
      </c>
      <c r="CB108" s="2">
        <v>0</v>
      </c>
      <c r="CC108" s="2">
        <v>0</v>
      </c>
      <c r="CD108" s="2">
        <v>7</v>
      </c>
      <c r="CE108" s="2">
        <v>2</v>
      </c>
      <c r="CF108" s="2">
        <v>5</v>
      </c>
      <c r="CG108" s="2">
        <v>0</v>
      </c>
      <c r="CH108" s="2" t="s">
        <v>152</v>
      </c>
      <c r="CI108" s="2">
        <v>7.8</v>
      </c>
      <c r="CJ108" s="2" t="s">
        <v>139</v>
      </c>
      <c r="CK108" s="2">
        <v>1</v>
      </c>
      <c r="CL108" s="2">
        <v>43</v>
      </c>
      <c r="CM108" s="2" t="s">
        <v>533</v>
      </c>
      <c r="CN108" s="2">
        <v>5.0999999999999997E-2</v>
      </c>
      <c r="CO108" s="2">
        <v>6.91</v>
      </c>
      <c r="CP108" s="2">
        <v>7</v>
      </c>
      <c r="CQ108" s="2" t="s">
        <v>137</v>
      </c>
      <c r="CR108" s="2">
        <v>0.92857000000000001</v>
      </c>
      <c r="CS108" s="2">
        <v>0.85714000000000001</v>
      </c>
      <c r="CT108" s="2">
        <v>7.1429999999999993E-2</v>
      </c>
      <c r="CU108" s="2">
        <v>0.92857000000000001</v>
      </c>
      <c r="CV108" s="2">
        <v>7</v>
      </c>
      <c r="CW108" s="2">
        <v>3.0700000000000002E-2</v>
      </c>
      <c r="CX108" s="2">
        <v>0.15619999000000001</v>
      </c>
      <c r="CY108" s="2">
        <v>12.09</v>
      </c>
      <c r="CZ108" s="2">
        <v>10.28</v>
      </c>
      <c r="DA108" s="2" t="s">
        <v>205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128700000</v>
      </c>
      <c r="DH108" s="2">
        <v>8.98</v>
      </c>
      <c r="DI108" s="2">
        <v>29.62</v>
      </c>
      <c r="DJ108" s="2">
        <v>134726000</v>
      </c>
      <c r="DK108" s="2">
        <v>-6026000</v>
      </c>
      <c r="DL108" s="2">
        <v>190036992</v>
      </c>
      <c r="DM108" s="2">
        <v>763785984</v>
      </c>
      <c r="DN108" s="2">
        <v>-573748992</v>
      </c>
      <c r="DO108" s="2">
        <v>0.25</v>
      </c>
      <c r="DP108" s="2" t="s">
        <v>137</v>
      </c>
      <c r="DQ108" s="2" t="s">
        <v>137</v>
      </c>
      <c r="DR108" s="2">
        <v>1.45</v>
      </c>
      <c r="DS108" s="2">
        <v>12.09</v>
      </c>
      <c r="DT108" s="2">
        <v>10.28</v>
      </c>
      <c r="DU108" s="2">
        <v>1.45</v>
      </c>
      <c r="DV108" s="2" t="s">
        <v>137</v>
      </c>
      <c r="DW108" s="2">
        <v>11.14</v>
      </c>
      <c r="DX108" s="2">
        <v>0</v>
      </c>
      <c r="DY108" s="2">
        <v>0</v>
      </c>
      <c r="DZ108" s="2">
        <v>36</v>
      </c>
      <c r="EA108" s="2">
        <v>10</v>
      </c>
      <c r="EB108" s="2">
        <v>1</v>
      </c>
      <c r="EC108" s="2">
        <v>46</v>
      </c>
      <c r="ED108" s="2">
        <v>0</v>
      </c>
    </row>
    <row r="109" spans="1:134" hidden="1" x14ac:dyDescent="0.2">
      <c r="A109" s="2" t="s">
        <v>438</v>
      </c>
      <c r="B109" s="2" t="s">
        <v>439</v>
      </c>
      <c r="C109" s="2" t="s">
        <v>180</v>
      </c>
      <c r="D109" s="2" t="s">
        <v>440</v>
      </c>
      <c r="E109" s="2">
        <v>851892544</v>
      </c>
      <c r="F109" s="2">
        <v>27.18</v>
      </c>
      <c r="G109" s="2">
        <v>27.08</v>
      </c>
      <c r="H109" s="2">
        <v>26.93</v>
      </c>
      <c r="I109" s="2">
        <v>27.02</v>
      </c>
      <c r="J109" s="2">
        <v>26.92</v>
      </c>
      <c r="K109" s="2">
        <v>27.15</v>
      </c>
      <c r="L109" s="2">
        <v>27.46</v>
      </c>
      <c r="M109" s="2">
        <v>27.14</v>
      </c>
      <c r="N109" s="2">
        <v>27.24</v>
      </c>
      <c r="O109" s="2">
        <v>27.63</v>
      </c>
      <c r="P109" s="2">
        <v>0.81</v>
      </c>
      <c r="Q109" s="2">
        <v>27.03</v>
      </c>
      <c r="R109" s="2">
        <v>28.53</v>
      </c>
      <c r="S109" s="2">
        <v>27.62</v>
      </c>
      <c r="T109" s="2">
        <v>0</v>
      </c>
      <c r="U109" s="2">
        <v>26.99</v>
      </c>
      <c r="V109" s="2">
        <v>27.44</v>
      </c>
      <c r="W109" s="2">
        <v>26.52</v>
      </c>
      <c r="X109" s="2">
        <v>23.13</v>
      </c>
      <c r="Y109" s="2">
        <v>30.41</v>
      </c>
      <c r="Z109" s="2">
        <v>31.15</v>
      </c>
      <c r="AA109" s="2">
        <v>32.42</v>
      </c>
      <c r="AB109" s="2">
        <v>297500</v>
      </c>
      <c r="AC109" s="2">
        <v>172500</v>
      </c>
      <c r="AD109" s="2">
        <v>168400</v>
      </c>
      <c r="AE109" s="2">
        <v>203400</v>
      </c>
      <c r="AF109" s="2">
        <v>203600</v>
      </c>
      <c r="AG109" s="2">
        <f>AVERAGE(AB109:AF109)</f>
        <v>209080</v>
      </c>
      <c r="AH109" s="2">
        <v>0</v>
      </c>
      <c r="AI109" s="2">
        <v>1</v>
      </c>
      <c r="AJ109" s="2">
        <v>1</v>
      </c>
      <c r="AK109" s="2">
        <v>0</v>
      </c>
      <c r="AL109" s="2">
        <v>1</v>
      </c>
      <c r="AM109" s="2">
        <v>0</v>
      </c>
      <c r="AN109" s="2">
        <v>0</v>
      </c>
      <c r="AO109" s="2">
        <v>1</v>
      </c>
      <c r="AP109" s="2">
        <v>0</v>
      </c>
      <c r="AQ109" s="2">
        <v>1</v>
      </c>
      <c r="AR109" s="2">
        <v>1</v>
      </c>
      <c r="AS109" s="2">
        <v>13.06</v>
      </c>
      <c r="AT109" s="2">
        <v>31.12</v>
      </c>
      <c r="AU109" s="2">
        <v>80.7</v>
      </c>
      <c r="AV109" s="2">
        <v>19.3</v>
      </c>
      <c r="AW109" s="2">
        <v>1</v>
      </c>
      <c r="AX109" s="2">
        <v>0</v>
      </c>
      <c r="AY109" s="2">
        <v>41.2</v>
      </c>
      <c r="AZ109" s="2">
        <v>40.799999999999997</v>
      </c>
      <c r="BA109" s="2">
        <v>42.1</v>
      </c>
      <c r="BB109" s="2">
        <v>42</v>
      </c>
      <c r="BC109" s="2">
        <v>46.8</v>
      </c>
      <c r="BD109" s="2">
        <v>0</v>
      </c>
      <c r="BE109" s="2">
        <v>12.6</v>
      </c>
      <c r="BF109" s="2">
        <v>5.7</v>
      </c>
      <c r="BG109" s="2">
        <v>0</v>
      </c>
      <c r="BH109" s="2">
        <v>0</v>
      </c>
      <c r="BI109" s="2">
        <v>26.1</v>
      </c>
      <c r="BJ109" s="2">
        <v>1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 t="s">
        <v>137</v>
      </c>
      <c r="BV109" s="2">
        <v>32.25</v>
      </c>
      <c r="BW109" s="2">
        <v>34</v>
      </c>
      <c r="BX109" s="2">
        <v>29</v>
      </c>
      <c r="BY109" s="2">
        <v>1</v>
      </c>
      <c r="BZ109" s="2">
        <v>3</v>
      </c>
      <c r="CA109" s="2">
        <v>1</v>
      </c>
      <c r="CB109" s="2">
        <v>0</v>
      </c>
      <c r="CC109" s="2">
        <v>0</v>
      </c>
      <c r="CD109" s="2">
        <v>5</v>
      </c>
      <c r="CE109" s="2">
        <v>4</v>
      </c>
      <c r="CF109" s="2">
        <v>1</v>
      </c>
      <c r="CG109" s="2">
        <v>0</v>
      </c>
      <c r="CH109" s="2" t="s">
        <v>152</v>
      </c>
      <c r="CI109" s="2">
        <v>16.7</v>
      </c>
      <c r="CJ109" s="2" t="s">
        <v>139</v>
      </c>
      <c r="CK109" s="2">
        <v>0</v>
      </c>
      <c r="CL109" s="2">
        <v>32.799999999999997</v>
      </c>
      <c r="CM109" s="2" t="s">
        <v>441</v>
      </c>
      <c r="CN109" s="2">
        <v>3.6299999999999999E-2</v>
      </c>
      <c r="CO109" s="2">
        <v>2.4</v>
      </c>
      <c r="CP109" s="2">
        <v>0</v>
      </c>
      <c r="CQ109" s="2" t="s">
        <v>137</v>
      </c>
      <c r="CR109" s="2">
        <v>0.53</v>
      </c>
      <c r="CS109" s="2">
        <v>0</v>
      </c>
      <c r="CT109" s="2">
        <v>0.53</v>
      </c>
      <c r="CU109" s="2">
        <v>0.53</v>
      </c>
      <c r="CV109" s="2">
        <v>1</v>
      </c>
      <c r="CW109" s="2" t="s">
        <v>137</v>
      </c>
      <c r="CX109" s="2">
        <v>2.1137999999999999</v>
      </c>
      <c r="CY109" s="2">
        <v>37.340000000000003</v>
      </c>
      <c r="CZ109" s="2">
        <v>32.89</v>
      </c>
      <c r="DA109" s="2" t="s">
        <v>442</v>
      </c>
      <c r="DB109" s="2">
        <v>0</v>
      </c>
      <c r="DC109" s="2">
        <v>1</v>
      </c>
      <c r="DD109" s="2">
        <v>1</v>
      </c>
      <c r="DE109" s="2">
        <v>0</v>
      </c>
      <c r="DF109" s="2">
        <v>0</v>
      </c>
      <c r="DG109" s="2">
        <v>989000</v>
      </c>
      <c r="DH109" s="2">
        <v>0.12</v>
      </c>
      <c r="DI109" s="2">
        <v>0.13</v>
      </c>
      <c r="DJ109" s="2">
        <v>84200000</v>
      </c>
      <c r="DK109" s="2">
        <v>-83211000</v>
      </c>
      <c r="DL109" s="2">
        <v>26345000</v>
      </c>
      <c r="DM109" s="2">
        <v>319980992</v>
      </c>
      <c r="DN109" s="2">
        <v>-293635992</v>
      </c>
      <c r="DO109" s="2">
        <v>0.08</v>
      </c>
      <c r="DP109" s="2">
        <v>0.43</v>
      </c>
      <c r="DQ109" s="2">
        <v>0.28000000000000003</v>
      </c>
      <c r="DR109" s="2">
        <v>2.5</v>
      </c>
      <c r="DS109" s="2">
        <v>37.340000000000003</v>
      </c>
      <c r="DT109" s="2">
        <v>32.89</v>
      </c>
      <c r="DU109" s="2">
        <v>2.5</v>
      </c>
      <c r="DV109" s="2">
        <v>10.63</v>
      </c>
      <c r="DW109" s="2">
        <v>861.37</v>
      </c>
      <c r="DX109" s="2">
        <v>0</v>
      </c>
      <c r="DY109" s="2">
        <v>0</v>
      </c>
      <c r="DZ109" s="2">
        <v>24</v>
      </c>
      <c r="EA109" s="2">
        <v>10</v>
      </c>
      <c r="EB109" s="2">
        <v>1</v>
      </c>
      <c r="EC109" s="2">
        <v>34</v>
      </c>
      <c r="ED109" s="2">
        <v>0</v>
      </c>
    </row>
    <row r="110" spans="1:134" hidden="1" x14ac:dyDescent="0.2">
      <c r="A110" s="2" t="s">
        <v>600</v>
      </c>
      <c r="B110" s="2" t="s">
        <v>601</v>
      </c>
      <c r="C110" s="2" t="s">
        <v>309</v>
      </c>
      <c r="D110" s="2" t="s">
        <v>310</v>
      </c>
      <c r="E110" s="2">
        <v>150489344</v>
      </c>
      <c r="F110" s="2">
        <v>4.59</v>
      </c>
      <c r="G110" s="2">
        <v>4.17</v>
      </c>
      <c r="H110" s="2">
        <v>4.13</v>
      </c>
      <c r="I110" s="2">
        <v>4.0599999999999996</v>
      </c>
      <c r="J110" s="2">
        <v>4.16</v>
      </c>
      <c r="K110" s="2">
        <v>4.29</v>
      </c>
      <c r="L110" s="2">
        <v>4.29</v>
      </c>
      <c r="M110" s="2">
        <v>4.5999999999999996</v>
      </c>
      <c r="N110" s="2">
        <v>4.6500000000000004</v>
      </c>
      <c r="O110" s="2">
        <v>4.92</v>
      </c>
      <c r="P110" s="2">
        <v>0.46</v>
      </c>
      <c r="Q110" s="2">
        <v>4.13</v>
      </c>
      <c r="R110" s="2">
        <v>6.11</v>
      </c>
      <c r="S110" s="2">
        <v>4.8899999999999997</v>
      </c>
      <c r="T110" s="2">
        <v>-0.6</v>
      </c>
      <c r="U110" s="2">
        <v>4.03</v>
      </c>
      <c r="V110" s="2">
        <v>4.3600000000000003</v>
      </c>
      <c r="W110" s="2">
        <v>4.22</v>
      </c>
      <c r="X110" s="2">
        <v>4.01</v>
      </c>
      <c r="Y110" s="2">
        <v>5.7</v>
      </c>
      <c r="Z110" s="2">
        <v>5.9</v>
      </c>
      <c r="AA110" s="2">
        <v>6.25</v>
      </c>
      <c r="AB110" s="2">
        <v>1132000</v>
      </c>
      <c r="AC110" s="2">
        <v>508000</v>
      </c>
      <c r="AD110" s="2">
        <v>740200</v>
      </c>
      <c r="AE110" s="2">
        <v>606300</v>
      </c>
      <c r="AF110" s="2">
        <v>735500</v>
      </c>
      <c r="AG110" s="2">
        <f>AVERAGE(AB110:AF110)</f>
        <v>744400</v>
      </c>
      <c r="AH110" s="2">
        <v>0</v>
      </c>
      <c r="AI110" s="2">
        <v>0</v>
      </c>
      <c r="AJ110" s="2">
        <v>1</v>
      </c>
      <c r="AK110" s="2">
        <v>1</v>
      </c>
      <c r="AL110" s="2">
        <v>1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1</v>
      </c>
      <c r="AS110" s="2">
        <v>1.18</v>
      </c>
      <c r="AT110" s="2">
        <v>5.45</v>
      </c>
      <c r="AU110" s="2">
        <v>87.6</v>
      </c>
      <c r="AV110" s="2">
        <v>12.4</v>
      </c>
      <c r="AW110" s="2">
        <v>0</v>
      </c>
      <c r="AX110" s="2">
        <v>1</v>
      </c>
      <c r="AY110" s="2">
        <v>54.4</v>
      </c>
      <c r="AZ110" s="2">
        <v>51.3</v>
      </c>
      <c r="BA110" s="2">
        <v>56.9</v>
      </c>
      <c r="BB110" s="2">
        <v>63</v>
      </c>
      <c r="BC110" s="2">
        <v>68.099999999999994</v>
      </c>
      <c r="BD110" s="2">
        <v>0</v>
      </c>
      <c r="BE110" s="2">
        <v>91.6</v>
      </c>
      <c r="BF110" s="2">
        <v>75.3</v>
      </c>
      <c r="BG110" s="2">
        <v>0</v>
      </c>
      <c r="BH110" s="2">
        <v>0</v>
      </c>
      <c r="BI110" s="2">
        <v>33.1</v>
      </c>
      <c r="BJ110" s="2">
        <v>1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3</v>
      </c>
      <c r="BV110" s="2">
        <v>5.5</v>
      </c>
      <c r="BW110" s="2">
        <v>5.5</v>
      </c>
      <c r="BX110" s="2">
        <v>5.5</v>
      </c>
      <c r="BY110" s="2">
        <v>0</v>
      </c>
      <c r="BZ110" s="2">
        <v>0</v>
      </c>
      <c r="CA110" s="2">
        <v>1</v>
      </c>
      <c r="CB110" s="2">
        <v>0</v>
      </c>
      <c r="CC110" s="2">
        <v>0</v>
      </c>
      <c r="CD110" s="2">
        <v>1</v>
      </c>
      <c r="CE110" s="2">
        <v>0</v>
      </c>
      <c r="CF110" s="2">
        <v>1</v>
      </c>
      <c r="CG110" s="2">
        <v>0</v>
      </c>
      <c r="CH110" s="2" t="s">
        <v>146</v>
      </c>
      <c r="CI110" s="2">
        <v>11.8</v>
      </c>
      <c r="CJ110" s="2" t="s">
        <v>188</v>
      </c>
      <c r="CK110" s="2">
        <v>1</v>
      </c>
      <c r="CL110" s="2">
        <v>6.65</v>
      </c>
      <c r="CM110" s="2" t="s">
        <v>602</v>
      </c>
      <c r="CN110" s="2">
        <v>4.9299999999999997E-2</v>
      </c>
      <c r="CO110" s="2">
        <v>5.46</v>
      </c>
      <c r="CP110" s="2">
        <v>1</v>
      </c>
      <c r="CQ110" s="2" t="s">
        <v>137</v>
      </c>
      <c r="CR110" s="2">
        <v>0.09</v>
      </c>
      <c r="CS110" s="2">
        <v>-0.05</v>
      </c>
      <c r="CT110" s="2">
        <v>0.14000000000000001</v>
      </c>
      <c r="CU110" s="2">
        <v>0.09</v>
      </c>
      <c r="CV110" s="2">
        <v>1</v>
      </c>
      <c r="CW110" s="2">
        <v>2.8</v>
      </c>
      <c r="CX110" s="2">
        <v>1.3792998999999999</v>
      </c>
      <c r="CY110" s="2">
        <v>82</v>
      </c>
      <c r="CZ110" s="2">
        <v>35.14</v>
      </c>
      <c r="DA110" s="2" t="s">
        <v>603</v>
      </c>
      <c r="DB110" s="2">
        <v>0</v>
      </c>
      <c r="DC110" s="2">
        <v>0</v>
      </c>
      <c r="DD110" s="2">
        <v>0.5</v>
      </c>
      <c r="DE110" s="2">
        <v>0</v>
      </c>
      <c r="DF110" s="2">
        <v>0</v>
      </c>
      <c r="DG110" s="2">
        <v>-589000</v>
      </c>
      <c r="DH110" s="2">
        <v>-0.39</v>
      </c>
      <c r="DI110" s="2">
        <v>-0.1</v>
      </c>
      <c r="DJ110" s="2">
        <v>4098000</v>
      </c>
      <c r="DK110" s="2">
        <v>-4687000</v>
      </c>
      <c r="DL110" s="2">
        <v>62197000</v>
      </c>
      <c r="DM110" s="2">
        <v>169412992</v>
      </c>
      <c r="DN110" s="2">
        <v>-107215992</v>
      </c>
      <c r="DO110" s="2">
        <v>0.37</v>
      </c>
      <c r="DP110" s="2">
        <v>1.1599999999999999</v>
      </c>
      <c r="DQ110" s="2">
        <v>0.54</v>
      </c>
      <c r="DR110" s="2">
        <v>0.88</v>
      </c>
      <c r="DS110" s="2">
        <v>82</v>
      </c>
      <c r="DT110" s="2">
        <v>35.14</v>
      </c>
      <c r="DU110" s="2">
        <v>0.88</v>
      </c>
      <c r="DV110" s="2">
        <v>22.79</v>
      </c>
      <c r="DW110" s="2" t="s">
        <v>137</v>
      </c>
      <c r="DX110" s="2">
        <v>0</v>
      </c>
      <c r="DY110" s="2">
        <v>0</v>
      </c>
      <c r="DZ110" s="2">
        <v>22</v>
      </c>
      <c r="EA110" s="2">
        <v>10</v>
      </c>
      <c r="EB110" s="2">
        <v>1</v>
      </c>
      <c r="EC110" s="2">
        <v>32</v>
      </c>
      <c r="ED110" s="2">
        <v>0</v>
      </c>
    </row>
    <row r="111" spans="1:134" hidden="1" x14ac:dyDescent="0.2">
      <c r="A111" s="2" t="s">
        <v>539</v>
      </c>
      <c r="B111" s="2" t="s">
        <v>540</v>
      </c>
      <c r="C111" s="2" t="s">
        <v>135</v>
      </c>
      <c r="D111" s="2" t="s">
        <v>518</v>
      </c>
      <c r="E111" s="2">
        <v>281221472</v>
      </c>
      <c r="F111" s="2">
        <v>28</v>
      </c>
      <c r="G111" s="2">
        <v>29.07</v>
      </c>
      <c r="H111" s="2">
        <v>28.7</v>
      </c>
      <c r="I111" s="2">
        <v>28.25</v>
      </c>
      <c r="J111" s="2">
        <v>28.08</v>
      </c>
      <c r="K111" s="2">
        <v>26.94</v>
      </c>
      <c r="L111" s="2">
        <v>22.11</v>
      </c>
      <c r="M111" s="2">
        <v>22.5</v>
      </c>
      <c r="N111" s="2">
        <v>22.66</v>
      </c>
      <c r="O111" s="2">
        <v>24.26</v>
      </c>
      <c r="P111" s="2">
        <v>1.5</v>
      </c>
      <c r="Q111" s="2">
        <v>20.5</v>
      </c>
      <c r="R111" s="2">
        <v>29.9</v>
      </c>
      <c r="S111" s="2">
        <v>24.25</v>
      </c>
      <c r="T111" s="2">
        <v>0</v>
      </c>
      <c r="U111" s="2">
        <v>24.36</v>
      </c>
      <c r="V111" s="2">
        <v>21.25</v>
      </c>
      <c r="W111" s="2">
        <v>20.309999999999999</v>
      </c>
      <c r="X111" s="2">
        <v>18.62</v>
      </c>
      <c r="Y111" s="2">
        <v>29.45</v>
      </c>
      <c r="Z111" s="2">
        <v>31.25</v>
      </c>
      <c r="AA111" s="2" t="s">
        <v>137</v>
      </c>
      <c r="AB111" s="2">
        <v>152100</v>
      </c>
      <c r="AC111" s="2">
        <v>64600</v>
      </c>
      <c r="AD111" s="2">
        <v>170500</v>
      </c>
      <c r="AE111" s="2">
        <v>1546700</v>
      </c>
      <c r="AF111" s="2">
        <v>612700</v>
      </c>
      <c r="AG111" s="2">
        <f>AVERAGE(AB111:AF111)</f>
        <v>509320</v>
      </c>
      <c r="AH111" s="2">
        <v>1</v>
      </c>
      <c r="AI111" s="2">
        <v>0</v>
      </c>
      <c r="AJ111" s="2">
        <v>0</v>
      </c>
      <c r="AK111" s="2">
        <v>1</v>
      </c>
      <c r="AL111" s="2">
        <v>1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11.29</v>
      </c>
      <c r="AT111" s="2">
        <v>30.5</v>
      </c>
      <c r="AU111" s="2">
        <v>67.5</v>
      </c>
      <c r="AV111" s="2">
        <v>32.5</v>
      </c>
      <c r="AW111" s="2">
        <v>0</v>
      </c>
      <c r="AX111" s="2">
        <v>0</v>
      </c>
      <c r="AY111" s="2">
        <v>63.7</v>
      </c>
      <c r="AZ111" s="2">
        <v>57.3</v>
      </c>
      <c r="BA111" s="2">
        <v>48.9</v>
      </c>
      <c r="BB111" s="2">
        <v>31.9</v>
      </c>
      <c r="BC111" s="2">
        <v>40.700000000000003</v>
      </c>
      <c r="BD111" s="2">
        <v>1</v>
      </c>
      <c r="BE111" s="2">
        <v>7.6</v>
      </c>
      <c r="BF111" s="2">
        <v>6.7</v>
      </c>
      <c r="BG111" s="2">
        <v>0</v>
      </c>
      <c r="BH111" s="2">
        <v>0</v>
      </c>
      <c r="BI111" s="2">
        <v>37.700000000000003</v>
      </c>
      <c r="BJ111" s="2">
        <v>1</v>
      </c>
      <c r="BK111" s="2">
        <v>0</v>
      </c>
      <c r="BL111" s="2">
        <v>0</v>
      </c>
      <c r="BM111" s="2">
        <v>1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 t="s">
        <v>137</v>
      </c>
      <c r="BV111" s="2">
        <v>32.5</v>
      </c>
      <c r="BW111" s="2">
        <v>34</v>
      </c>
      <c r="BX111" s="2">
        <v>30</v>
      </c>
      <c r="BY111" s="2">
        <v>0</v>
      </c>
      <c r="BZ111" s="2">
        <v>4</v>
      </c>
      <c r="CA111" s="2">
        <v>0</v>
      </c>
      <c r="CB111" s="2">
        <v>0</v>
      </c>
      <c r="CC111" s="2">
        <v>0</v>
      </c>
      <c r="CD111" s="2">
        <v>4</v>
      </c>
      <c r="CE111" s="2">
        <v>4</v>
      </c>
      <c r="CF111" s="2">
        <v>0</v>
      </c>
      <c r="CG111" s="2">
        <v>0</v>
      </c>
      <c r="CH111" s="2" t="s">
        <v>152</v>
      </c>
      <c r="CI111" s="2">
        <v>34</v>
      </c>
      <c r="CJ111" s="2" t="s">
        <v>139</v>
      </c>
      <c r="CK111" s="2">
        <v>1</v>
      </c>
      <c r="CL111" s="2">
        <v>32.5</v>
      </c>
      <c r="CM111" s="2" t="s">
        <v>541</v>
      </c>
      <c r="CN111" s="2">
        <v>3.8699999999999998E-2</v>
      </c>
      <c r="CO111" s="2">
        <v>2.41</v>
      </c>
      <c r="CP111" s="2">
        <v>1</v>
      </c>
      <c r="CQ111" s="2" t="s">
        <v>137</v>
      </c>
      <c r="CR111" s="2">
        <v>0.83</v>
      </c>
      <c r="CS111" s="2">
        <v>0.77500000000000002</v>
      </c>
      <c r="CT111" s="2">
        <v>5.4999999999999938E-2</v>
      </c>
      <c r="CU111" s="2">
        <v>0.83</v>
      </c>
      <c r="CV111" s="2">
        <v>2</v>
      </c>
      <c r="CW111" s="2">
        <v>0.86219999999999997</v>
      </c>
      <c r="CX111" s="2">
        <v>0.54610000000000003</v>
      </c>
      <c r="CY111" s="2">
        <v>21.1</v>
      </c>
      <c r="CZ111" s="2">
        <v>6.95</v>
      </c>
      <c r="DA111" s="2" t="s">
        <v>201</v>
      </c>
      <c r="DB111" s="2">
        <v>1</v>
      </c>
      <c r="DC111" s="2">
        <v>0</v>
      </c>
      <c r="DD111" s="2">
        <v>2.5</v>
      </c>
      <c r="DE111" s="2">
        <v>0</v>
      </c>
      <c r="DF111" s="2">
        <v>1</v>
      </c>
      <c r="DG111" s="2">
        <v>41328000</v>
      </c>
      <c r="DH111" s="2">
        <v>14.7</v>
      </c>
      <c r="DI111" s="2">
        <v>7.04</v>
      </c>
      <c r="DJ111" s="2">
        <v>59504000</v>
      </c>
      <c r="DK111" s="2">
        <v>-18176000</v>
      </c>
      <c r="DL111" s="2">
        <v>21368000</v>
      </c>
      <c r="DM111" s="2">
        <v>320940992</v>
      </c>
      <c r="DN111" s="2">
        <v>-299572992</v>
      </c>
      <c r="DO111" s="2">
        <v>7.0000000000000007E-2</v>
      </c>
      <c r="DP111" s="2">
        <v>2.09</v>
      </c>
      <c r="DQ111" s="2">
        <v>1.22</v>
      </c>
      <c r="DR111" s="2">
        <v>0.56999999999999995</v>
      </c>
      <c r="DS111" s="2">
        <v>21.1</v>
      </c>
      <c r="DT111" s="2">
        <v>6.95</v>
      </c>
      <c r="DU111" s="2">
        <v>0.56999999999999995</v>
      </c>
      <c r="DV111" s="2">
        <v>7.25</v>
      </c>
      <c r="DW111" s="2">
        <v>6.8</v>
      </c>
      <c r="DX111" s="2">
        <v>16.55</v>
      </c>
      <c r="DY111" s="2">
        <v>0</v>
      </c>
      <c r="DZ111" s="2">
        <v>42</v>
      </c>
      <c r="EA111" s="2">
        <v>30</v>
      </c>
      <c r="EB111" s="2">
        <v>3</v>
      </c>
      <c r="EC111" s="2">
        <v>72</v>
      </c>
      <c r="ED111" s="2">
        <v>1</v>
      </c>
    </row>
    <row r="112" spans="1:134" hidden="1" x14ac:dyDescent="0.2">
      <c r="A112" s="2" t="s">
        <v>542</v>
      </c>
      <c r="B112" s="2" t="s">
        <v>543</v>
      </c>
      <c r="C112" s="2" t="s">
        <v>186</v>
      </c>
      <c r="D112" s="2" t="s">
        <v>544</v>
      </c>
      <c r="E112" s="2">
        <v>249531008</v>
      </c>
      <c r="F112" s="2">
        <v>2.15</v>
      </c>
      <c r="G112" s="2">
        <v>2.11</v>
      </c>
      <c r="H112" s="2">
        <v>2.1</v>
      </c>
      <c r="I112" s="2">
        <v>2.17</v>
      </c>
      <c r="J112" s="2">
        <v>2.14</v>
      </c>
      <c r="K112" s="2">
        <v>2.12</v>
      </c>
      <c r="L112" s="2">
        <v>2.14</v>
      </c>
      <c r="M112" s="2">
        <v>2.13</v>
      </c>
      <c r="N112" s="2">
        <v>2.14</v>
      </c>
      <c r="O112" s="2">
        <v>2.15</v>
      </c>
      <c r="P112" s="2">
        <v>0.06</v>
      </c>
      <c r="Q112" s="2">
        <v>2.0699999999999998</v>
      </c>
      <c r="R112" s="2">
        <v>2.27</v>
      </c>
      <c r="S112" s="2">
        <v>2.15</v>
      </c>
      <c r="T112" s="2">
        <v>0.2</v>
      </c>
      <c r="U112" s="2">
        <v>2.23</v>
      </c>
      <c r="V112" s="2">
        <v>2.1</v>
      </c>
      <c r="W112" s="2">
        <v>2.0499999999999998</v>
      </c>
      <c r="X112" s="2">
        <v>1.99</v>
      </c>
      <c r="Y112" s="2">
        <v>2.23</v>
      </c>
      <c r="Z112" s="2">
        <v>2.2999999999999998</v>
      </c>
      <c r="AA112" s="2">
        <v>2.34</v>
      </c>
      <c r="AB112" s="2">
        <v>586500</v>
      </c>
      <c r="AC112" s="2">
        <v>612400</v>
      </c>
      <c r="AD112" s="2">
        <v>436400</v>
      </c>
      <c r="AE112" s="2">
        <v>396300</v>
      </c>
      <c r="AF112" s="2">
        <v>411700</v>
      </c>
      <c r="AG112" s="2">
        <f>AVERAGE(AB112:AF112)</f>
        <v>488660</v>
      </c>
      <c r="AH112" s="2">
        <v>0</v>
      </c>
      <c r="AI112" s="2">
        <v>1</v>
      </c>
      <c r="AJ112" s="2">
        <v>0</v>
      </c>
      <c r="AK112" s="2">
        <v>0</v>
      </c>
      <c r="AL112" s="2">
        <v>1</v>
      </c>
      <c r="AM112" s="2">
        <v>0</v>
      </c>
      <c r="AN112" s="2">
        <v>1</v>
      </c>
      <c r="AO112" s="2">
        <v>0</v>
      </c>
      <c r="AP112" s="2">
        <v>0</v>
      </c>
      <c r="AQ112" s="2">
        <v>0</v>
      </c>
      <c r="AR112" s="2">
        <v>0</v>
      </c>
      <c r="AS112" s="2">
        <v>1.42</v>
      </c>
      <c r="AT112" s="2">
        <v>2.56</v>
      </c>
      <c r="AU112" s="2">
        <v>64</v>
      </c>
      <c r="AV112" s="2">
        <v>36</v>
      </c>
      <c r="AW112" s="2">
        <v>0</v>
      </c>
      <c r="AX112" s="2">
        <v>1</v>
      </c>
      <c r="AY112" s="2">
        <v>41.4</v>
      </c>
      <c r="AZ112" s="2">
        <v>47.4</v>
      </c>
      <c r="BA112" s="2">
        <v>43.4</v>
      </c>
      <c r="BB112" s="2">
        <v>44.4</v>
      </c>
      <c r="BC112" s="2">
        <v>46.5</v>
      </c>
      <c r="BD112" s="2">
        <v>0</v>
      </c>
      <c r="BE112" s="2">
        <v>45.1</v>
      </c>
      <c r="BF112" s="2">
        <v>37.5</v>
      </c>
      <c r="BG112" s="2">
        <v>0</v>
      </c>
      <c r="BH112" s="2">
        <v>0</v>
      </c>
      <c r="BI112" s="2">
        <v>12.4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 t="s">
        <v>137</v>
      </c>
      <c r="BV112" s="2">
        <v>3.5</v>
      </c>
      <c r="BW112" s="2">
        <v>4</v>
      </c>
      <c r="BX112" s="2">
        <v>3</v>
      </c>
      <c r="BY112" s="2">
        <v>0</v>
      </c>
      <c r="BZ112" s="2">
        <v>2</v>
      </c>
      <c r="CA112" s="2">
        <v>0</v>
      </c>
      <c r="CB112" s="2">
        <v>0</v>
      </c>
      <c r="CC112" s="2">
        <v>0</v>
      </c>
      <c r="CD112" s="2">
        <v>2</v>
      </c>
      <c r="CE112" s="2">
        <v>2</v>
      </c>
      <c r="CF112" s="2">
        <v>0</v>
      </c>
      <c r="CG112" s="2">
        <v>0</v>
      </c>
      <c r="CH112" s="2" t="s">
        <v>152</v>
      </c>
      <c r="CI112" s="2">
        <v>62.8</v>
      </c>
      <c r="CJ112" s="2" t="s">
        <v>139</v>
      </c>
      <c r="CK112" s="2">
        <v>1</v>
      </c>
      <c r="CL112" s="2">
        <v>3.5</v>
      </c>
      <c r="CM112" s="2" t="s">
        <v>545</v>
      </c>
      <c r="CN112" s="2">
        <v>2.7699999999999999E-2</v>
      </c>
      <c r="CO112" s="2">
        <v>4.1500000000000004</v>
      </c>
      <c r="CP112" s="2">
        <v>1</v>
      </c>
      <c r="CQ112" s="2" t="s">
        <v>137</v>
      </c>
      <c r="CR112" s="2">
        <v>5.0000000000000001E-3</v>
      </c>
      <c r="CS112" s="2">
        <v>-0.01</v>
      </c>
      <c r="CT112" s="2">
        <v>1.4999999999999999E-2</v>
      </c>
      <c r="CU112" s="2">
        <v>5.0000000000000001E-3</v>
      </c>
      <c r="CV112" s="2">
        <v>2</v>
      </c>
      <c r="CW112" s="2">
        <v>-0.5</v>
      </c>
      <c r="CX112" s="2">
        <v>2</v>
      </c>
      <c r="CY112" s="2">
        <v>107.5</v>
      </c>
      <c r="CZ112" s="2" t="s">
        <v>137</v>
      </c>
      <c r="DA112" s="2" t="s">
        <v>210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-1927126</v>
      </c>
      <c r="DH112" s="2">
        <v>-0.77</v>
      </c>
      <c r="DI112" s="2">
        <v>-3.59</v>
      </c>
      <c r="DJ112" s="2">
        <v>963847</v>
      </c>
      <c r="DK112" s="2">
        <v>-2890973</v>
      </c>
      <c r="DL112" s="2">
        <v>68777368</v>
      </c>
      <c r="DM112" s="2">
        <v>10876666</v>
      </c>
      <c r="DN112" s="2">
        <v>57900702</v>
      </c>
      <c r="DO112" s="2">
        <v>6.32</v>
      </c>
      <c r="DP112" s="2">
        <v>4.74</v>
      </c>
      <c r="DQ112" s="2">
        <v>4.51</v>
      </c>
      <c r="DR112" s="2" t="s">
        <v>137</v>
      </c>
      <c r="DS112" s="2">
        <v>107.5</v>
      </c>
      <c r="DT112" s="2" t="s">
        <v>137</v>
      </c>
      <c r="DU112" s="2" t="s">
        <v>137</v>
      </c>
      <c r="DV112" s="2">
        <v>8.59</v>
      </c>
      <c r="DW112" s="2" t="s">
        <v>137</v>
      </c>
      <c r="DX112" s="2">
        <v>0.92</v>
      </c>
      <c r="DY112" s="2">
        <v>0</v>
      </c>
      <c r="DZ112" s="2">
        <v>36</v>
      </c>
      <c r="EA112" s="2">
        <v>10</v>
      </c>
      <c r="EB112" s="2">
        <v>1</v>
      </c>
      <c r="EC112" s="2">
        <v>46</v>
      </c>
      <c r="ED112" s="2">
        <v>0</v>
      </c>
    </row>
    <row r="113" spans="1:134" hidden="1" x14ac:dyDescent="0.2">
      <c r="A113" t="s">
        <v>546</v>
      </c>
      <c r="B113" t="s">
        <v>547</v>
      </c>
      <c r="C113" t="s">
        <v>186</v>
      </c>
      <c r="D113" t="s">
        <v>496</v>
      </c>
      <c r="E113">
        <v>244462192</v>
      </c>
      <c r="F113">
        <v>28.33</v>
      </c>
      <c r="G113">
        <v>29.11</v>
      </c>
      <c r="H113">
        <v>30.53</v>
      </c>
      <c r="I113">
        <v>29.55</v>
      </c>
      <c r="J113">
        <v>29.55</v>
      </c>
      <c r="K113">
        <v>29.37</v>
      </c>
      <c r="L113">
        <v>30.14</v>
      </c>
      <c r="M113">
        <v>30.91</v>
      </c>
      <c r="N113">
        <v>30.33</v>
      </c>
      <c r="O113">
        <v>29.83</v>
      </c>
      <c r="P113">
        <v>1.27</v>
      </c>
      <c r="Q113">
        <v>28.43</v>
      </c>
      <c r="R113">
        <v>31.93</v>
      </c>
      <c r="S113">
        <v>29.84</v>
      </c>
      <c r="T113">
        <v>0</v>
      </c>
      <c r="U113">
        <v>26.32</v>
      </c>
      <c r="V113">
        <v>29.07</v>
      </c>
      <c r="W113">
        <v>26.66</v>
      </c>
      <c r="X113">
        <v>26.24</v>
      </c>
      <c r="Y113">
        <v>33.22</v>
      </c>
      <c r="Z113">
        <v>34.119999999999997</v>
      </c>
      <c r="AA113">
        <v>34.6</v>
      </c>
      <c r="AB113">
        <v>184000</v>
      </c>
      <c r="AC113">
        <v>251600</v>
      </c>
      <c r="AD113">
        <v>116800</v>
      </c>
      <c r="AE113">
        <v>132200</v>
      </c>
      <c r="AF113">
        <v>112100</v>
      </c>
      <c r="AG113" s="2">
        <f>AVERAGE(AB113:AF113)</f>
        <v>159340</v>
      </c>
      <c r="AH113">
        <v>1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22.43</v>
      </c>
      <c r="AT113">
        <v>35.29</v>
      </c>
      <c r="AU113">
        <v>57.5</v>
      </c>
      <c r="AV113">
        <v>42.5</v>
      </c>
      <c r="AW113">
        <v>0</v>
      </c>
      <c r="AX113">
        <v>0</v>
      </c>
      <c r="AY113">
        <v>67.3</v>
      </c>
      <c r="AZ113">
        <v>69.400000000000006</v>
      </c>
      <c r="BA113">
        <v>67.5</v>
      </c>
      <c r="BB113">
        <v>74.099999999999994</v>
      </c>
      <c r="BC113">
        <v>64.2</v>
      </c>
      <c r="BD113">
        <v>0</v>
      </c>
      <c r="BE113">
        <v>81.3</v>
      </c>
      <c r="BF113">
        <v>91.3</v>
      </c>
      <c r="BG113">
        <v>0</v>
      </c>
      <c r="BH113">
        <v>0</v>
      </c>
      <c r="BI113">
        <v>27.8</v>
      </c>
      <c r="BJ113">
        <v>1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</v>
      </c>
      <c r="BU113">
        <v>1</v>
      </c>
      <c r="BV113">
        <v>38</v>
      </c>
      <c r="BW113">
        <v>38</v>
      </c>
      <c r="BX113">
        <v>38</v>
      </c>
      <c r="BY113">
        <v>0</v>
      </c>
      <c r="BZ113">
        <v>1</v>
      </c>
      <c r="CA113">
        <v>0</v>
      </c>
      <c r="CB113">
        <v>0</v>
      </c>
      <c r="CC113">
        <v>0</v>
      </c>
      <c r="CD113">
        <v>1</v>
      </c>
      <c r="CE113">
        <v>1</v>
      </c>
      <c r="CF113">
        <v>0</v>
      </c>
      <c r="CG113">
        <v>0</v>
      </c>
      <c r="CH113" t="s">
        <v>268</v>
      </c>
      <c r="CI113">
        <v>27.4</v>
      </c>
      <c r="CJ113" t="s">
        <v>237</v>
      </c>
      <c r="CK113">
        <v>1</v>
      </c>
      <c r="CL113">
        <v>38</v>
      </c>
      <c r="CM113" t="s">
        <v>548</v>
      </c>
      <c r="CN113">
        <v>6.1600000000000002E-2</v>
      </c>
      <c r="CO113">
        <v>6.54</v>
      </c>
      <c r="CP113">
        <v>1</v>
      </c>
      <c r="CQ113" t="s">
        <v>137</v>
      </c>
      <c r="CR113">
        <v>0.55000000000000004</v>
      </c>
      <c r="CS113">
        <v>0.48</v>
      </c>
      <c r="CT113">
        <v>7.0000000000000062E-2</v>
      </c>
      <c r="CU113">
        <v>0.55000000000000004</v>
      </c>
      <c r="CV113">
        <v>1</v>
      </c>
      <c r="CW113">
        <v>-0.28570000000000001</v>
      </c>
      <c r="CX113">
        <v>-0.2727</v>
      </c>
      <c r="CY113">
        <v>15.7</v>
      </c>
      <c r="CZ113" t="s">
        <v>137</v>
      </c>
      <c r="DA113" t="s">
        <v>453</v>
      </c>
      <c r="DB113">
        <v>0</v>
      </c>
      <c r="DC113">
        <v>0</v>
      </c>
      <c r="DD113">
        <v>0.5</v>
      </c>
      <c r="DE113">
        <v>4</v>
      </c>
      <c r="DF113">
        <v>0</v>
      </c>
      <c r="DG113">
        <v>-1271000</v>
      </c>
      <c r="DH113">
        <v>-0.52</v>
      </c>
      <c r="DI113">
        <v>-0.56000000000000005</v>
      </c>
      <c r="DJ113">
        <v>9169000</v>
      </c>
      <c r="DK113">
        <v>-10440000</v>
      </c>
      <c r="DL113">
        <v>31778000</v>
      </c>
      <c r="DM113">
        <v>53043000</v>
      </c>
      <c r="DN113">
        <v>-21265000</v>
      </c>
      <c r="DO113">
        <v>0.6</v>
      </c>
      <c r="DP113">
        <v>2.19</v>
      </c>
      <c r="DQ113">
        <v>1.78</v>
      </c>
      <c r="DR113">
        <v>2.82</v>
      </c>
      <c r="DS113">
        <v>15.7</v>
      </c>
      <c r="DT113" t="s">
        <v>137</v>
      </c>
      <c r="DU113">
        <v>2.82</v>
      </c>
      <c r="DV113">
        <v>8.4499999999999993</v>
      </c>
      <c r="DW113" t="s">
        <v>137</v>
      </c>
      <c r="DX113">
        <v>3.49</v>
      </c>
      <c r="DY113">
        <v>0</v>
      </c>
      <c r="DZ113">
        <v>41</v>
      </c>
      <c r="EA113">
        <v>10</v>
      </c>
      <c r="EB113">
        <v>1</v>
      </c>
      <c r="EC113">
        <v>51</v>
      </c>
      <c r="ED113">
        <v>1</v>
      </c>
    </row>
    <row r="114" spans="1:134" hidden="1" x14ac:dyDescent="0.2">
      <c r="A114" s="2" t="s">
        <v>549</v>
      </c>
      <c r="B114" s="2" t="s">
        <v>550</v>
      </c>
      <c r="C114" s="2" t="s">
        <v>157</v>
      </c>
      <c r="D114" s="2" t="s">
        <v>551</v>
      </c>
      <c r="E114" s="2">
        <v>937698752</v>
      </c>
      <c r="F114" s="2">
        <v>23.5</v>
      </c>
      <c r="G114" s="2">
        <v>23.69</v>
      </c>
      <c r="H114" s="2">
        <v>23.7</v>
      </c>
      <c r="I114" s="2">
        <v>23.63</v>
      </c>
      <c r="J114" s="2">
        <v>23.61</v>
      </c>
      <c r="K114" s="2">
        <v>23.09</v>
      </c>
      <c r="L114" s="2">
        <v>23.12</v>
      </c>
      <c r="M114" s="2">
        <v>23.2</v>
      </c>
      <c r="N114" s="2">
        <v>23.29</v>
      </c>
      <c r="O114" s="2">
        <v>23.56</v>
      </c>
      <c r="P114" s="2">
        <v>0.54</v>
      </c>
      <c r="Q114" s="2">
        <v>22.88</v>
      </c>
      <c r="R114" s="2">
        <v>24.58</v>
      </c>
      <c r="S114" s="2">
        <v>23.56</v>
      </c>
      <c r="T114" s="2">
        <v>0</v>
      </c>
      <c r="U114" s="2">
        <v>23.51</v>
      </c>
      <c r="V114" s="2">
        <v>23.15</v>
      </c>
      <c r="W114" s="2">
        <v>22.83</v>
      </c>
      <c r="X114" s="2">
        <v>22.51</v>
      </c>
      <c r="Y114" s="2">
        <v>23.63</v>
      </c>
      <c r="Z114" s="2">
        <v>24.03</v>
      </c>
      <c r="AA114" s="2">
        <v>24.38</v>
      </c>
      <c r="AB114" s="2">
        <v>354700</v>
      </c>
      <c r="AC114" s="2">
        <v>227200</v>
      </c>
      <c r="AD114" s="2">
        <v>219100</v>
      </c>
      <c r="AE114" s="2">
        <v>205300</v>
      </c>
      <c r="AF114" s="2">
        <v>353900</v>
      </c>
      <c r="AG114" s="2">
        <f>AVERAGE(AB114:AF114)</f>
        <v>272040</v>
      </c>
      <c r="AH114" s="2">
        <v>1</v>
      </c>
      <c r="AI114" s="2">
        <v>0</v>
      </c>
      <c r="AJ114" s="2">
        <v>0</v>
      </c>
      <c r="AK114" s="2">
        <v>1</v>
      </c>
      <c r="AL114" s="2">
        <v>1</v>
      </c>
      <c r="AM114" s="2">
        <v>0</v>
      </c>
      <c r="AN114" s="2">
        <v>0</v>
      </c>
      <c r="AO114" s="2">
        <v>0</v>
      </c>
      <c r="AP114" s="2">
        <v>0</v>
      </c>
      <c r="AQ114" s="2">
        <v>1</v>
      </c>
      <c r="AR114" s="2">
        <v>1</v>
      </c>
      <c r="AS114" s="2">
        <v>14.63</v>
      </c>
      <c r="AT114" s="2">
        <v>24.98</v>
      </c>
      <c r="AU114" s="2">
        <v>86.3</v>
      </c>
      <c r="AV114" s="2">
        <v>13.7</v>
      </c>
      <c r="AW114" s="2">
        <v>0</v>
      </c>
      <c r="AX114" s="2">
        <v>1</v>
      </c>
      <c r="AY114" s="2">
        <v>54.6</v>
      </c>
      <c r="AZ114" s="2">
        <v>53.5</v>
      </c>
      <c r="BA114" s="2">
        <v>44.4</v>
      </c>
      <c r="BB114" s="2">
        <v>46.4</v>
      </c>
      <c r="BC114" s="2">
        <v>52.4</v>
      </c>
      <c r="BD114" s="2">
        <v>0</v>
      </c>
      <c r="BE114" s="2">
        <v>21.8</v>
      </c>
      <c r="BF114" s="2">
        <v>29.7</v>
      </c>
      <c r="BG114" s="2">
        <v>0</v>
      </c>
      <c r="BH114" s="2">
        <v>0</v>
      </c>
      <c r="BI114" s="2">
        <v>13.5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1.5714300000000001</v>
      </c>
      <c r="BV114" s="2">
        <v>26.785710000000002</v>
      </c>
      <c r="BW114" s="2">
        <v>30</v>
      </c>
      <c r="BX114" s="2">
        <v>24.5</v>
      </c>
      <c r="BY114" s="2">
        <v>2</v>
      </c>
      <c r="BZ114" s="2">
        <v>4</v>
      </c>
      <c r="CA114" s="2">
        <v>1</v>
      </c>
      <c r="CB114" s="2">
        <v>0</v>
      </c>
      <c r="CC114" s="2">
        <v>0</v>
      </c>
      <c r="CD114" s="2">
        <v>7</v>
      </c>
      <c r="CE114" s="2">
        <v>6</v>
      </c>
      <c r="CF114" s="2">
        <v>1</v>
      </c>
      <c r="CG114" s="2">
        <v>0</v>
      </c>
      <c r="CH114" s="2" t="s">
        <v>138</v>
      </c>
      <c r="CI114" s="2">
        <v>13.7</v>
      </c>
      <c r="CJ114" s="2" t="s">
        <v>237</v>
      </c>
      <c r="CK114" s="2">
        <v>1</v>
      </c>
      <c r="CL114" s="2">
        <v>26.84</v>
      </c>
      <c r="CM114" s="2" t="s">
        <v>552</v>
      </c>
      <c r="CN114" s="2">
        <v>6.59E-2</v>
      </c>
      <c r="CO114" s="2">
        <v>5.45</v>
      </c>
      <c r="CP114" s="2">
        <v>2</v>
      </c>
      <c r="CQ114" s="2" t="s">
        <v>137</v>
      </c>
      <c r="CR114" s="2">
        <v>0.19875000000000001</v>
      </c>
      <c r="CS114" s="2">
        <v>0.15293000000000001</v>
      </c>
      <c r="CT114" s="2">
        <v>4.582E-2</v>
      </c>
      <c r="CU114" s="2">
        <v>0.19875000000000001</v>
      </c>
      <c r="CV114" s="2">
        <v>3</v>
      </c>
      <c r="CW114" s="2">
        <v>0.25280002000000001</v>
      </c>
      <c r="CX114" s="2">
        <v>0.10529999399999999</v>
      </c>
      <c r="CY114" s="2">
        <v>43.63</v>
      </c>
      <c r="CZ114" s="2">
        <v>30.7</v>
      </c>
      <c r="DA114" s="2" t="s">
        <v>201</v>
      </c>
      <c r="DB114" s="2">
        <v>0</v>
      </c>
      <c r="DC114" s="2">
        <v>1</v>
      </c>
      <c r="DD114" s="2">
        <v>0.5</v>
      </c>
      <c r="DE114" s="2">
        <v>0</v>
      </c>
      <c r="DF114" s="2">
        <v>0</v>
      </c>
      <c r="DG114" s="2">
        <v>37568000</v>
      </c>
      <c r="DH114" s="2">
        <v>4.01</v>
      </c>
      <c r="DI114" s="2">
        <v>35.590000000000003</v>
      </c>
      <c r="DJ114" s="2">
        <v>44505000</v>
      </c>
      <c r="DK114" s="2">
        <v>-6937000</v>
      </c>
      <c r="DL114" s="2">
        <v>5235000</v>
      </c>
      <c r="DM114" s="2">
        <v>384280992</v>
      </c>
      <c r="DN114" s="2">
        <v>-379045992</v>
      </c>
      <c r="DO114" s="2">
        <v>0.01</v>
      </c>
      <c r="DP114" s="2">
        <v>2.25</v>
      </c>
      <c r="DQ114" s="2">
        <v>2.17</v>
      </c>
      <c r="DR114" s="2" t="s">
        <v>137</v>
      </c>
      <c r="DS114" s="2">
        <v>43.63</v>
      </c>
      <c r="DT114" s="2">
        <v>30.7</v>
      </c>
      <c r="DU114" s="2" t="s">
        <v>137</v>
      </c>
      <c r="DV114" s="2">
        <v>19.28</v>
      </c>
      <c r="DW114" s="2">
        <v>24.96</v>
      </c>
      <c r="DX114" s="2">
        <v>0.55000000000000004</v>
      </c>
      <c r="DY114" s="2">
        <v>0</v>
      </c>
      <c r="DZ114" s="2">
        <v>51</v>
      </c>
      <c r="EA114" s="2">
        <v>0</v>
      </c>
      <c r="EB114" s="2">
        <v>0</v>
      </c>
      <c r="EC114" s="2">
        <v>51</v>
      </c>
      <c r="ED114" s="2">
        <v>0</v>
      </c>
    </row>
    <row r="115" spans="1:134" hidden="1" x14ac:dyDescent="0.2">
      <c r="A115" s="2" t="s">
        <v>450</v>
      </c>
      <c r="B115" s="2" t="s">
        <v>451</v>
      </c>
      <c r="C115" s="2" t="s">
        <v>241</v>
      </c>
      <c r="D115" s="2" t="s">
        <v>275</v>
      </c>
      <c r="E115" s="2">
        <v>807690496</v>
      </c>
      <c r="F115" s="2">
        <v>18.29</v>
      </c>
      <c r="G115" s="2">
        <v>17.829999999999998</v>
      </c>
      <c r="H115" s="2">
        <v>17.760000000000002</v>
      </c>
      <c r="I115" s="2">
        <v>17.260000000000002</v>
      </c>
      <c r="J115" s="2">
        <v>17</v>
      </c>
      <c r="K115" s="2">
        <v>17.100000000000001</v>
      </c>
      <c r="L115" s="2">
        <v>17.239999999999998</v>
      </c>
      <c r="M115" s="2">
        <v>17.22</v>
      </c>
      <c r="N115" s="2">
        <v>17.47</v>
      </c>
      <c r="O115" s="2">
        <v>17.899999999999999</v>
      </c>
      <c r="P115" s="2">
        <v>0.82</v>
      </c>
      <c r="Q115" s="2">
        <v>17.05</v>
      </c>
      <c r="R115" s="2">
        <v>19.170000000000002</v>
      </c>
      <c r="S115" s="2">
        <v>17.89</v>
      </c>
      <c r="T115" s="2">
        <v>-0.1</v>
      </c>
      <c r="U115" s="2">
        <v>18.18</v>
      </c>
      <c r="V115" s="2">
        <v>17.46</v>
      </c>
      <c r="W115" s="2">
        <v>16.88</v>
      </c>
      <c r="X115" s="2">
        <v>16.53</v>
      </c>
      <c r="Y115" s="2">
        <v>17.96</v>
      </c>
      <c r="Z115" s="2">
        <v>18.989999999999998</v>
      </c>
      <c r="AA115" s="2">
        <v>19.399999999999999</v>
      </c>
      <c r="AB115" s="2">
        <v>575500</v>
      </c>
      <c r="AC115" s="2">
        <v>475000</v>
      </c>
      <c r="AD115" s="2">
        <v>521300</v>
      </c>
      <c r="AE115" s="2">
        <v>535300</v>
      </c>
      <c r="AF115" s="2">
        <v>522400</v>
      </c>
      <c r="AG115" s="2">
        <f>AVERAGE(AB115:AF115)</f>
        <v>525900</v>
      </c>
      <c r="AH115" s="2">
        <v>0</v>
      </c>
      <c r="AI115" s="2">
        <v>0</v>
      </c>
      <c r="AJ115" s="2">
        <v>1</v>
      </c>
      <c r="AK115" s="2">
        <v>0</v>
      </c>
      <c r="AL115" s="2">
        <v>1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8.65</v>
      </c>
      <c r="AT115" s="2">
        <v>20.14</v>
      </c>
      <c r="AU115" s="2">
        <v>80.5</v>
      </c>
      <c r="AV115" s="2">
        <v>19.5</v>
      </c>
      <c r="AW115" s="2">
        <v>0</v>
      </c>
      <c r="AX115" s="2">
        <v>1</v>
      </c>
      <c r="AY115" s="2">
        <v>46.9</v>
      </c>
      <c r="AZ115" s="2">
        <v>43.1</v>
      </c>
      <c r="BA115" s="2">
        <v>42</v>
      </c>
      <c r="BB115" s="2">
        <v>43.1</v>
      </c>
      <c r="BC115" s="2">
        <v>49</v>
      </c>
      <c r="BD115" s="2">
        <v>1</v>
      </c>
      <c r="BE115" s="2">
        <v>16.899999999999999</v>
      </c>
      <c r="BF115" s="2">
        <v>6.5</v>
      </c>
      <c r="BG115" s="2">
        <v>0</v>
      </c>
      <c r="BH115" s="2">
        <v>0</v>
      </c>
      <c r="BI115" s="2">
        <v>14.4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 t="s">
        <v>137</v>
      </c>
      <c r="BV115" s="2">
        <v>22.625</v>
      </c>
      <c r="BW115" s="2">
        <v>26</v>
      </c>
      <c r="BX115" s="2">
        <v>18</v>
      </c>
      <c r="BY115" s="2">
        <v>1</v>
      </c>
      <c r="BZ115" s="2">
        <v>4</v>
      </c>
      <c r="CA115" s="2">
        <v>0</v>
      </c>
      <c r="CB115" s="2">
        <v>0</v>
      </c>
      <c r="CC115" s="2">
        <v>0</v>
      </c>
      <c r="CD115" s="2">
        <v>5</v>
      </c>
      <c r="CE115" s="2">
        <v>5</v>
      </c>
      <c r="CF115" s="2">
        <v>0</v>
      </c>
      <c r="CG115" s="2">
        <v>0</v>
      </c>
      <c r="CH115" s="2" t="s">
        <v>152</v>
      </c>
      <c r="CI115" s="2">
        <v>26.4</v>
      </c>
      <c r="CJ115" s="2" t="s">
        <v>139</v>
      </c>
      <c r="CK115" s="2">
        <v>0</v>
      </c>
      <c r="CL115" s="2">
        <v>23.62</v>
      </c>
      <c r="CM115" s="2" t="s">
        <v>452</v>
      </c>
      <c r="CN115" s="2">
        <v>9.0700000000000003E-2</v>
      </c>
      <c r="CO115" s="2">
        <v>5.36</v>
      </c>
      <c r="CP115" s="2">
        <v>0</v>
      </c>
      <c r="CQ115" s="2" t="s">
        <v>137</v>
      </c>
      <c r="CR115" s="2">
        <v>0.155</v>
      </c>
      <c r="CS115" s="2">
        <v>0.19400000000000001</v>
      </c>
      <c r="CT115" s="2">
        <v>-3.9000000000000007E-2</v>
      </c>
      <c r="CU115" s="2">
        <v>0.155</v>
      </c>
      <c r="CV115" s="2">
        <v>4</v>
      </c>
      <c r="CW115" s="2">
        <v>-0.35419998000000003</v>
      </c>
      <c r="CX115" s="2">
        <v>0.20629998999999999</v>
      </c>
      <c r="CY115" s="2">
        <v>38.090000000000003</v>
      </c>
      <c r="CZ115" s="2">
        <v>15.02</v>
      </c>
      <c r="DA115" s="2" t="s">
        <v>453</v>
      </c>
      <c r="DB115" s="2">
        <v>1</v>
      </c>
      <c r="DC115" s="2">
        <v>0</v>
      </c>
      <c r="DD115" s="2">
        <v>1</v>
      </c>
      <c r="DE115" s="2">
        <v>0</v>
      </c>
      <c r="DF115" s="2">
        <v>0</v>
      </c>
      <c r="DG115" s="2">
        <v>54185000</v>
      </c>
      <c r="DH115" s="2">
        <v>6.71</v>
      </c>
      <c r="DI115" s="2">
        <v>27.38</v>
      </c>
      <c r="DJ115" s="2">
        <v>55340000</v>
      </c>
      <c r="DK115" s="2">
        <v>-1155000</v>
      </c>
      <c r="DL115" s="2">
        <v>99711000</v>
      </c>
      <c r="DM115" s="2">
        <v>56175000</v>
      </c>
      <c r="DN115" s="2">
        <v>43536000</v>
      </c>
      <c r="DO115" s="2">
        <v>1.78</v>
      </c>
      <c r="DP115" s="2">
        <v>2.74</v>
      </c>
      <c r="DQ115" s="2">
        <v>2.63</v>
      </c>
      <c r="DR115" s="2">
        <v>1.38</v>
      </c>
      <c r="DS115" s="2">
        <v>38.090000000000003</v>
      </c>
      <c r="DT115" s="2">
        <v>15.02</v>
      </c>
      <c r="DU115" s="2">
        <v>1.38</v>
      </c>
      <c r="DV115" s="2">
        <v>15.42</v>
      </c>
      <c r="DW115" s="2">
        <v>14.91</v>
      </c>
      <c r="DX115" s="2">
        <v>0</v>
      </c>
      <c r="DY115" s="2">
        <v>0</v>
      </c>
      <c r="DZ115" s="2">
        <v>21</v>
      </c>
      <c r="EA115" s="2">
        <v>30</v>
      </c>
      <c r="EB115" s="2">
        <v>3</v>
      </c>
      <c r="EC115" s="2">
        <v>51</v>
      </c>
      <c r="ED115" s="2">
        <v>0</v>
      </c>
    </row>
    <row r="116" spans="1:134" hidden="1" x14ac:dyDescent="0.2">
      <c r="A116" s="2" t="s">
        <v>557</v>
      </c>
      <c r="B116" s="2" t="s">
        <v>558</v>
      </c>
      <c r="C116" s="2" t="s">
        <v>186</v>
      </c>
      <c r="D116" s="2" t="s">
        <v>559</v>
      </c>
      <c r="E116" s="2">
        <v>525934528</v>
      </c>
      <c r="F116" s="2">
        <v>10.71</v>
      </c>
      <c r="G116" s="2">
        <v>10.199999999999999</v>
      </c>
      <c r="H116" s="2">
        <v>10.17</v>
      </c>
      <c r="I116" s="2">
        <v>10.15</v>
      </c>
      <c r="J116" s="2">
        <v>10.15</v>
      </c>
      <c r="K116" s="2">
        <v>10.11</v>
      </c>
      <c r="L116" s="2">
        <v>10.210000000000001</v>
      </c>
      <c r="M116" s="2">
        <v>10.1</v>
      </c>
      <c r="N116" s="2">
        <v>10.09</v>
      </c>
      <c r="O116" s="2">
        <v>10.220000000000001</v>
      </c>
      <c r="P116" s="2">
        <v>0.31</v>
      </c>
      <c r="Q116" s="2">
        <v>9.83</v>
      </c>
      <c r="R116" s="2">
        <v>10.81</v>
      </c>
      <c r="S116" s="2">
        <v>10.23</v>
      </c>
      <c r="T116" s="2">
        <v>0.1</v>
      </c>
      <c r="U116" s="2">
        <v>9.5500000000000007</v>
      </c>
      <c r="V116" s="2">
        <v>9.98</v>
      </c>
      <c r="W116" s="2">
        <v>9.66</v>
      </c>
      <c r="X116" s="2">
        <v>8.2200000000000006</v>
      </c>
      <c r="Y116" s="2">
        <v>10.41</v>
      </c>
      <c r="Z116" s="2">
        <v>10.87</v>
      </c>
      <c r="AA116" s="2">
        <v>11.15</v>
      </c>
      <c r="AB116" s="2">
        <v>399900</v>
      </c>
      <c r="AC116" s="2">
        <v>256700</v>
      </c>
      <c r="AD116" s="2">
        <v>267400</v>
      </c>
      <c r="AE116" s="2">
        <v>184300</v>
      </c>
      <c r="AF116" s="2">
        <v>211200</v>
      </c>
      <c r="AG116" s="2">
        <f>AVERAGE(AB116:AF116)</f>
        <v>263900</v>
      </c>
      <c r="AH116" s="2">
        <v>0</v>
      </c>
      <c r="AI116" s="2">
        <v>0</v>
      </c>
      <c r="AJ116" s="2">
        <v>0</v>
      </c>
      <c r="AK116" s="2">
        <v>0</v>
      </c>
      <c r="AL116" s="2">
        <v>1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1</v>
      </c>
      <c r="AS116" s="2">
        <v>5.18</v>
      </c>
      <c r="AT116" s="2">
        <v>10.85</v>
      </c>
      <c r="AU116" s="2">
        <v>88.9</v>
      </c>
      <c r="AV116" s="2">
        <v>11.1</v>
      </c>
      <c r="AW116" s="2">
        <v>0</v>
      </c>
      <c r="AX116" s="2">
        <v>0</v>
      </c>
      <c r="AY116" s="2">
        <v>55.3</v>
      </c>
      <c r="AZ116" s="2">
        <v>54.1</v>
      </c>
      <c r="BA116" s="2">
        <v>53.1</v>
      </c>
      <c r="BB116" s="2">
        <v>52.9</v>
      </c>
      <c r="BC116" s="2">
        <v>55.7</v>
      </c>
      <c r="BD116" s="2">
        <v>1</v>
      </c>
      <c r="BE116" s="2">
        <v>5.6</v>
      </c>
      <c r="BF116" s="2">
        <v>1.9</v>
      </c>
      <c r="BG116" s="2">
        <v>0</v>
      </c>
      <c r="BH116" s="2">
        <v>0</v>
      </c>
      <c r="BI116" s="2">
        <v>43.7</v>
      </c>
      <c r="BJ116" s="2">
        <v>1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 t="s">
        <v>137</v>
      </c>
      <c r="BV116" s="2">
        <v>13.16667</v>
      </c>
      <c r="BW116" s="2">
        <v>13.5</v>
      </c>
      <c r="BX116" s="2">
        <v>13</v>
      </c>
      <c r="BY116" s="2">
        <v>1</v>
      </c>
      <c r="BZ116" s="2">
        <v>2</v>
      </c>
      <c r="CA116" s="2">
        <v>0</v>
      </c>
      <c r="CB116" s="2">
        <v>0</v>
      </c>
      <c r="CC116" s="2">
        <v>0</v>
      </c>
      <c r="CD116" s="2">
        <v>3</v>
      </c>
      <c r="CE116" s="2">
        <v>3</v>
      </c>
      <c r="CF116" s="2">
        <v>0</v>
      </c>
      <c r="CG116" s="2">
        <v>0</v>
      </c>
      <c r="CH116" s="2" t="s">
        <v>152</v>
      </c>
      <c r="CI116" s="2">
        <v>28.8</v>
      </c>
      <c r="CJ116" s="2" t="s">
        <v>139</v>
      </c>
      <c r="CK116" s="2">
        <v>1</v>
      </c>
      <c r="CL116" s="2">
        <v>13.17</v>
      </c>
      <c r="CM116" s="2" t="s">
        <v>371</v>
      </c>
      <c r="CN116" s="2">
        <v>4.3299999999999998E-2</v>
      </c>
      <c r="CO116" s="2">
        <v>3.15</v>
      </c>
      <c r="CP116" s="2">
        <v>2</v>
      </c>
      <c r="CQ116" s="2" t="s">
        <v>137</v>
      </c>
      <c r="CR116" s="2">
        <v>0.38</v>
      </c>
      <c r="CS116" s="2">
        <v>0.34</v>
      </c>
      <c r="CT116" s="2">
        <v>3.999999999999998E-2</v>
      </c>
      <c r="CU116" s="2">
        <v>0.38</v>
      </c>
      <c r="CV116" s="2">
        <v>2</v>
      </c>
      <c r="CW116" s="2">
        <v>0.2258</v>
      </c>
      <c r="CX116" s="2">
        <v>0.29700001999999998</v>
      </c>
      <c r="CY116" s="2">
        <v>15.48</v>
      </c>
      <c r="CZ116" s="2">
        <v>7</v>
      </c>
      <c r="DA116" s="2" t="s">
        <v>265</v>
      </c>
      <c r="DB116" s="2">
        <v>1</v>
      </c>
      <c r="DC116" s="2">
        <v>0</v>
      </c>
      <c r="DD116" s="2">
        <v>1.5</v>
      </c>
      <c r="DE116" s="2">
        <v>0</v>
      </c>
      <c r="DF116" s="2">
        <v>0</v>
      </c>
      <c r="DG116" s="2">
        <v>50700000</v>
      </c>
      <c r="DH116" s="2">
        <v>9.64</v>
      </c>
      <c r="DI116" s="2">
        <v>2.13</v>
      </c>
      <c r="DJ116" s="2">
        <v>95900000</v>
      </c>
      <c r="DK116" s="2">
        <v>-45200000</v>
      </c>
      <c r="DL116" s="2">
        <v>8300000</v>
      </c>
      <c r="DM116" s="2">
        <v>469500000</v>
      </c>
      <c r="DN116" s="2">
        <v>-461200000</v>
      </c>
      <c r="DO116" s="2">
        <v>0.02</v>
      </c>
      <c r="DP116" s="2">
        <v>0.87</v>
      </c>
      <c r="DQ116" s="2">
        <v>0.53</v>
      </c>
      <c r="DR116" s="2">
        <v>0.84</v>
      </c>
      <c r="DS116" s="2">
        <v>15.48</v>
      </c>
      <c r="DT116" s="2">
        <v>7</v>
      </c>
      <c r="DU116" s="2">
        <v>0.84</v>
      </c>
      <c r="DV116" s="2">
        <v>5.41</v>
      </c>
      <c r="DW116" s="2">
        <v>10.37</v>
      </c>
      <c r="DX116" s="2">
        <v>0</v>
      </c>
      <c r="DY116" s="2">
        <v>0</v>
      </c>
      <c r="DZ116" s="2">
        <v>36</v>
      </c>
      <c r="EA116" s="2">
        <v>30</v>
      </c>
      <c r="EB116" s="2">
        <v>3</v>
      </c>
      <c r="EC116" s="2">
        <v>66</v>
      </c>
      <c r="ED116" s="2">
        <v>0</v>
      </c>
    </row>
    <row r="117" spans="1:134" hidden="1" x14ac:dyDescent="0.2">
      <c r="A117" t="s">
        <v>560</v>
      </c>
      <c r="B117" t="s">
        <v>561</v>
      </c>
      <c r="C117" t="s">
        <v>241</v>
      </c>
      <c r="D117" t="s">
        <v>403</v>
      </c>
      <c r="E117">
        <v>241989472</v>
      </c>
      <c r="F117">
        <v>17.61</v>
      </c>
      <c r="G117">
        <v>17.63</v>
      </c>
      <c r="H117">
        <v>17.510000000000002</v>
      </c>
      <c r="I117">
        <v>17.420000000000002</v>
      </c>
      <c r="J117">
        <v>17.03</v>
      </c>
      <c r="K117">
        <v>17.04</v>
      </c>
      <c r="L117">
        <v>17.29</v>
      </c>
      <c r="M117">
        <v>17.47</v>
      </c>
      <c r="N117">
        <v>17.11</v>
      </c>
      <c r="O117">
        <v>16.28</v>
      </c>
      <c r="P117">
        <v>0.71</v>
      </c>
      <c r="Q117">
        <v>14.96</v>
      </c>
      <c r="R117">
        <v>18.260000000000002</v>
      </c>
      <c r="S117">
        <v>16.25</v>
      </c>
      <c r="T117">
        <v>-0.2</v>
      </c>
      <c r="U117">
        <v>18.12</v>
      </c>
      <c r="V117">
        <v>15.31</v>
      </c>
      <c r="W117">
        <v>15</v>
      </c>
      <c r="X117">
        <v>14.2</v>
      </c>
      <c r="Y117">
        <v>17.649999999999999</v>
      </c>
      <c r="Z117">
        <v>17.829999999999998</v>
      </c>
      <c r="AA117">
        <v>18.14</v>
      </c>
      <c r="AB117">
        <v>107600</v>
      </c>
      <c r="AC117">
        <v>79600</v>
      </c>
      <c r="AD117">
        <v>121500</v>
      </c>
      <c r="AE117">
        <v>56300</v>
      </c>
      <c r="AF117">
        <v>115000</v>
      </c>
      <c r="AG117" s="2">
        <f>AVERAGE(AB117:AF117)</f>
        <v>96000</v>
      </c>
      <c r="AH117">
        <v>1</v>
      </c>
      <c r="AI117">
        <v>0</v>
      </c>
      <c r="AJ117">
        <v>1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0</v>
      </c>
      <c r="AS117">
        <v>9.43</v>
      </c>
      <c r="AT117">
        <v>21.82</v>
      </c>
      <c r="AU117">
        <v>55.3</v>
      </c>
      <c r="AV117">
        <v>44.7</v>
      </c>
      <c r="AW117">
        <v>0</v>
      </c>
      <c r="AX117">
        <v>0</v>
      </c>
      <c r="AY117">
        <v>47.2</v>
      </c>
      <c r="AZ117">
        <v>45.7</v>
      </c>
      <c r="BA117">
        <v>43</v>
      </c>
      <c r="BB117">
        <v>46.8</v>
      </c>
      <c r="BC117">
        <v>39.1</v>
      </c>
      <c r="BD117">
        <v>0</v>
      </c>
      <c r="BE117">
        <v>48.4</v>
      </c>
      <c r="BF117">
        <v>67.099999999999994</v>
      </c>
      <c r="BG117">
        <v>0</v>
      </c>
      <c r="BH117">
        <v>0</v>
      </c>
      <c r="BI117">
        <v>18.100000000000001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 t="s">
        <v>137</v>
      </c>
      <c r="BV117">
        <v>20.5</v>
      </c>
      <c r="BW117">
        <v>24</v>
      </c>
      <c r="BX117">
        <v>17</v>
      </c>
      <c r="BY117">
        <v>0</v>
      </c>
      <c r="BZ117">
        <v>1</v>
      </c>
      <c r="CA117">
        <v>0</v>
      </c>
      <c r="CB117">
        <v>0</v>
      </c>
      <c r="CC117">
        <v>0</v>
      </c>
      <c r="CD117">
        <v>1</v>
      </c>
      <c r="CE117">
        <v>1</v>
      </c>
      <c r="CF117">
        <v>0</v>
      </c>
      <c r="CG117">
        <v>0</v>
      </c>
      <c r="CH117" t="s">
        <v>152</v>
      </c>
      <c r="CI117">
        <v>25.9</v>
      </c>
      <c r="CJ117" t="s">
        <v>139</v>
      </c>
      <c r="CK117">
        <v>0</v>
      </c>
      <c r="CL117">
        <v>20.5</v>
      </c>
      <c r="CM117" t="s">
        <v>562</v>
      </c>
      <c r="CN117">
        <v>7.5500003999999996E-2</v>
      </c>
      <c r="CO117">
        <v>3.44</v>
      </c>
      <c r="CP117">
        <v>0</v>
      </c>
      <c r="CQ117" t="s">
        <v>137</v>
      </c>
      <c r="CR117">
        <v>0.09</v>
      </c>
      <c r="CS117">
        <v>0.1</v>
      </c>
      <c r="CT117">
        <v>-1.0000000000000011E-2</v>
      </c>
      <c r="CU117">
        <v>0.09</v>
      </c>
      <c r="CV117">
        <v>2</v>
      </c>
      <c r="CW117">
        <v>-0.30769999999999997</v>
      </c>
      <c r="CX117">
        <v>0.26250000000000001</v>
      </c>
      <c r="CY117">
        <v>37</v>
      </c>
      <c r="CZ117">
        <v>22</v>
      </c>
      <c r="DA117" t="s">
        <v>563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-3621000</v>
      </c>
      <c r="DH117">
        <v>-1.5</v>
      </c>
      <c r="DI117">
        <v>-1.58</v>
      </c>
      <c r="DJ117">
        <v>762000</v>
      </c>
      <c r="DK117">
        <v>-4383000</v>
      </c>
      <c r="DL117">
        <v>31779000</v>
      </c>
      <c r="DM117">
        <v>1389000</v>
      </c>
      <c r="DN117">
        <v>30390000</v>
      </c>
      <c r="DO117">
        <v>22.88</v>
      </c>
      <c r="DP117">
        <v>4.75</v>
      </c>
      <c r="DQ117">
        <v>1.79</v>
      </c>
      <c r="DR117">
        <v>1.67</v>
      </c>
      <c r="DS117">
        <v>37</v>
      </c>
      <c r="DT117">
        <v>22</v>
      </c>
      <c r="DU117">
        <v>1.67</v>
      </c>
      <c r="DV117">
        <v>22.17</v>
      </c>
      <c r="DW117" t="s">
        <v>137</v>
      </c>
      <c r="DX117">
        <v>7.66</v>
      </c>
      <c r="DY117">
        <v>0</v>
      </c>
      <c r="DZ117">
        <v>15</v>
      </c>
      <c r="EA117">
        <v>20</v>
      </c>
      <c r="EB117">
        <v>2</v>
      </c>
      <c r="EC117">
        <v>35</v>
      </c>
      <c r="ED117">
        <v>0</v>
      </c>
    </row>
    <row r="118" spans="1:134" hidden="1" x14ac:dyDescent="0.2">
      <c r="A118" s="2" t="s">
        <v>564</v>
      </c>
      <c r="B118" s="2" t="s">
        <v>565</v>
      </c>
      <c r="C118" s="2" t="s">
        <v>186</v>
      </c>
      <c r="D118" s="2" t="s">
        <v>566</v>
      </c>
      <c r="E118" s="2">
        <v>384487968</v>
      </c>
      <c r="F118" s="2">
        <v>8.36</v>
      </c>
      <c r="G118" s="2">
        <v>8.33</v>
      </c>
      <c r="H118" s="2">
        <v>8.3000000000000007</v>
      </c>
      <c r="I118" s="2">
        <v>8.2799999999999994</v>
      </c>
      <c r="J118" s="2">
        <v>8.2200000000000006</v>
      </c>
      <c r="K118" s="2">
        <v>8.2100000000000009</v>
      </c>
      <c r="L118" s="2">
        <v>8.26</v>
      </c>
      <c r="M118" s="2">
        <v>8.1300000000000008</v>
      </c>
      <c r="N118" s="2">
        <v>8.09</v>
      </c>
      <c r="O118" s="2">
        <v>8.2100000000000009</v>
      </c>
      <c r="P118" s="2">
        <v>0.26</v>
      </c>
      <c r="Q118" s="2">
        <v>8.07</v>
      </c>
      <c r="R118" s="2">
        <v>8.42</v>
      </c>
      <c r="S118" s="2">
        <v>8.2100000000000009</v>
      </c>
      <c r="T118" s="2">
        <v>0</v>
      </c>
      <c r="U118" s="2">
        <v>8.7100000000000009</v>
      </c>
      <c r="V118" s="2">
        <v>8.1999999999999993</v>
      </c>
      <c r="W118" s="2">
        <v>8.0399999999999991</v>
      </c>
      <c r="X118" s="2">
        <v>7.87</v>
      </c>
      <c r="Y118" s="2">
        <v>8.5500000000000007</v>
      </c>
      <c r="Z118" s="2">
        <v>8.7100000000000009</v>
      </c>
      <c r="AA118" s="2">
        <v>8.8699999999999992</v>
      </c>
      <c r="AB118" s="2">
        <v>119700</v>
      </c>
      <c r="AC118" s="2">
        <v>81400</v>
      </c>
      <c r="AD118" s="2">
        <v>107900</v>
      </c>
      <c r="AE118" s="2">
        <v>123300</v>
      </c>
      <c r="AF118" s="2">
        <v>807100</v>
      </c>
      <c r="AG118" s="2">
        <f>AVERAGE(AB118:AF118)</f>
        <v>247880</v>
      </c>
      <c r="AH118" s="2">
        <v>0</v>
      </c>
      <c r="AI118" s="2">
        <v>0</v>
      </c>
      <c r="AJ118" s="2">
        <v>0</v>
      </c>
      <c r="AK118" s="2">
        <v>0</v>
      </c>
      <c r="AL118" s="2">
        <v>1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5.83</v>
      </c>
      <c r="AT118" s="2">
        <v>9.61</v>
      </c>
      <c r="AU118" s="2">
        <v>63</v>
      </c>
      <c r="AV118" s="2">
        <v>37</v>
      </c>
      <c r="AW118" s="2">
        <v>1</v>
      </c>
      <c r="AX118" s="2">
        <v>0</v>
      </c>
      <c r="AY118" s="2">
        <v>42.9</v>
      </c>
      <c r="AZ118" s="2">
        <v>41.5</v>
      </c>
      <c r="BA118" s="2">
        <v>39.700000000000003</v>
      </c>
      <c r="BB118" s="2">
        <v>37.6</v>
      </c>
      <c r="BC118" s="2">
        <v>40.9</v>
      </c>
      <c r="BD118" s="2">
        <v>0</v>
      </c>
      <c r="BE118" s="2">
        <v>17.100000000000001</v>
      </c>
      <c r="BF118" s="2">
        <v>21.5</v>
      </c>
      <c r="BG118" s="2">
        <v>0</v>
      </c>
      <c r="BH118" s="2">
        <v>0</v>
      </c>
      <c r="BI118" s="2">
        <v>12.6</v>
      </c>
      <c r="BJ118" s="2">
        <v>0</v>
      </c>
      <c r="BK118" s="2">
        <v>0</v>
      </c>
      <c r="BL118" s="2">
        <v>0</v>
      </c>
      <c r="BM118" s="2">
        <v>1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 t="s">
        <v>137</v>
      </c>
      <c r="BV118" s="2">
        <v>10.25</v>
      </c>
      <c r="BW118" s="2">
        <v>12</v>
      </c>
      <c r="BX118" s="2">
        <v>8.5</v>
      </c>
      <c r="BY118" s="2">
        <v>0</v>
      </c>
      <c r="BZ118" s="2">
        <v>2</v>
      </c>
      <c r="CA118" s="2">
        <v>1</v>
      </c>
      <c r="CB118" s="2">
        <v>0</v>
      </c>
      <c r="CC118" s="2">
        <v>0</v>
      </c>
      <c r="CD118" s="2">
        <v>3</v>
      </c>
      <c r="CE118" s="2">
        <v>2</v>
      </c>
      <c r="CF118" s="2">
        <v>1</v>
      </c>
      <c r="CG118" s="2">
        <v>0</v>
      </c>
      <c r="CH118" s="2" t="s">
        <v>152</v>
      </c>
      <c r="CI118" s="2">
        <v>24.8</v>
      </c>
      <c r="CJ118" s="2" t="s">
        <v>139</v>
      </c>
      <c r="CK118" s="2">
        <v>0</v>
      </c>
      <c r="CL118" s="2">
        <v>9.25</v>
      </c>
      <c r="CM118" s="2" t="s">
        <v>480</v>
      </c>
      <c r="CN118" s="2">
        <v>2.1700000000000001E-2</v>
      </c>
      <c r="CO118" s="2">
        <v>6.83</v>
      </c>
      <c r="CP118" s="2">
        <v>0</v>
      </c>
      <c r="CQ118" s="2" t="s">
        <v>137</v>
      </c>
      <c r="CR118" s="2">
        <v>0.09</v>
      </c>
      <c r="CS118" s="2">
        <v>0.11</v>
      </c>
      <c r="CT118" s="2">
        <v>-0.02</v>
      </c>
      <c r="CU118" s="2">
        <v>0.09</v>
      </c>
      <c r="CV118" s="2">
        <v>2</v>
      </c>
      <c r="CW118" s="2">
        <v>-0.18180001000000001</v>
      </c>
      <c r="CX118" s="2">
        <v>-0.39060002999999999</v>
      </c>
      <c r="CY118" s="2">
        <v>24.88</v>
      </c>
      <c r="CZ118" s="2">
        <v>18.239999999999998</v>
      </c>
      <c r="DA118" s="2" t="s">
        <v>567</v>
      </c>
      <c r="DB118" s="2">
        <v>0</v>
      </c>
      <c r="DC118" s="2">
        <v>0</v>
      </c>
      <c r="DD118" s="2">
        <v>1</v>
      </c>
      <c r="DE118" s="2">
        <v>0</v>
      </c>
      <c r="DF118" s="2">
        <v>0</v>
      </c>
      <c r="DG118" s="2">
        <v>8144000</v>
      </c>
      <c r="DH118" s="2">
        <v>2.12</v>
      </c>
      <c r="DI118" s="2">
        <v>0.91</v>
      </c>
      <c r="DJ118" s="2">
        <v>13266000</v>
      </c>
      <c r="DK118" s="2">
        <v>-5122000</v>
      </c>
      <c r="DL118" s="2">
        <v>39688000</v>
      </c>
      <c r="DM118" s="2">
        <v>83793000</v>
      </c>
      <c r="DN118" s="2">
        <v>-44105000</v>
      </c>
      <c r="DO118" s="2">
        <v>0.47</v>
      </c>
      <c r="DP118" s="2">
        <v>1.59</v>
      </c>
      <c r="DQ118" s="2">
        <v>1.52</v>
      </c>
      <c r="DR118" s="2">
        <v>4.1100000000000003</v>
      </c>
      <c r="DS118" s="2">
        <v>24.88</v>
      </c>
      <c r="DT118" s="2">
        <v>18.239999999999998</v>
      </c>
      <c r="DU118" s="2">
        <v>4.1100000000000003</v>
      </c>
      <c r="DV118" s="2">
        <v>13.71</v>
      </c>
      <c r="DW118" s="2">
        <v>47.21</v>
      </c>
      <c r="DX118" s="2">
        <v>1.44</v>
      </c>
      <c r="DY118" s="2">
        <v>1</v>
      </c>
      <c r="DZ118" s="2">
        <v>11</v>
      </c>
      <c r="EA118" s="2">
        <v>15</v>
      </c>
      <c r="EB118" s="2">
        <v>1</v>
      </c>
      <c r="EC118" s="2">
        <v>26</v>
      </c>
      <c r="ED118" s="2">
        <v>0</v>
      </c>
    </row>
    <row r="119" spans="1:134" hidden="1" x14ac:dyDescent="0.2">
      <c r="A119" t="s">
        <v>568</v>
      </c>
      <c r="B119" t="s">
        <v>569</v>
      </c>
      <c r="C119" t="s">
        <v>180</v>
      </c>
      <c r="D119" t="s">
        <v>440</v>
      </c>
      <c r="E119">
        <v>617111744</v>
      </c>
      <c r="F119">
        <v>9.66</v>
      </c>
      <c r="G119">
        <v>9.15</v>
      </c>
      <c r="H119">
        <v>9.09</v>
      </c>
      <c r="I119">
        <v>8.85</v>
      </c>
      <c r="J119">
        <v>8.86</v>
      </c>
      <c r="K119">
        <v>8.82</v>
      </c>
      <c r="L119">
        <v>9.4499999999999993</v>
      </c>
      <c r="M119">
        <v>9.4700000000000006</v>
      </c>
      <c r="N119">
        <v>9.49</v>
      </c>
      <c r="O119">
        <v>9.36</v>
      </c>
      <c r="P119">
        <v>0.38</v>
      </c>
      <c r="Q119">
        <v>8.39</v>
      </c>
      <c r="R119">
        <v>10.81</v>
      </c>
      <c r="S119">
        <v>9.34</v>
      </c>
      <c r="T119">
        <v>-0.2</v>
      </c>
      <c r="U119">
        <v>10</v>
      </c>
      <c r="V119">
        <v>8.58</v>
      </c>
      <c r="W119" t="s">
        <v>137</v>
      </c>
      <c r="X119" t="s">
        <v>137</v>
      </c>
      <c r="Y119">
        <v>9.85</v>
      </c>
      <c r="Z119">
        <v>10.1</v>
      </c>
      <c r="AA119">
        <v>10.26</v>
      </c>
      <c r="AB119">
        <v>191700</v>
      </c>
      <c r="AC119">
        <v>115100</v>
      </c>
      <c r="AD119">
        <v>86300</v>
      </c>
      <c r="AE119">
        <v>119700</v>
      </c>
      <c r="AF119">
        <v>103900</v>
      </c>
      <c r="AG119" s="2">
        <f>AVERAGE(AB119:AF119)</f>
        <v>123340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7.22</v>
      </c>
      <c r="AT119">
        <v>11.1</v>
      </c>
      <c r="AU119">
        <v>55.2</v>
      </c>
      <c r="AV119">
        <v>44.8</v>
      </c>
      <c r="AW119">
        <v>0</v>
      </c>
      <c r="AX119">
        <v>0</v>
      </c>
      <c r="AY119">
        <v>29.9</v>
      </c>
      <c r="AZ119">
        <v>25.5</v>
      </c>
      <c r="BA119">
        <v>25.1</v>
      </c>
      <c r="BB119">
        <v>45</v>
      </c>
      <c r="BC119">
        <v>42.9</v>
      </c>
      <c r="BD119">
        <v>0</v>
      </c>
      <c r="BE119">
        <v>58.4</v>
      </c>
      <c r="BF119">
        <v>29.7</v>
      </c>
      <c r="BG119">
        <v>0</v>
      </c>
      <c r="BH119">
        <v>0</v>
      </c>
      <c r="BI119">
        <v>19.5</v>
      </c>
      <c r="BJ119">
        <v>0</v>
      </c>
      <c r="BK119">
        <v>0</v>
      </c>
      <c r="BL119">
        <v>0</v>
      </c>
      <c r="BM119">
        <v>1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 t="s">
        <v>137</v>
      </c>
      <c r="BV119">
        <v>13</v>
      </c>
      <c r="BW119">
        <v>15</v>
      </c>
      <c r="BX119">
        <v>11</v>
      </c>
      <c r="BY119">
        <v>0</v>
      </c>
      <c r="BZ119">
        <v>1</v>
      </c>
      <c r="CA119">
        <v>1</v>
      </c>
      <c r="CB119">
        <v>0</v>
      </c>
      <c r="CC119">
        <v>0</v>
      </c>
      <c r="CD119">
        <v>2</v>
      </c>
      <c r="CE119">
        <v>1</v>
      </c>
      <c r="CF119">
        <v>1</v>
      </c>
      <c r="CG119">
        <v>0</v>
      </c>
      <c r="CH119" t="s">
        <v>152</v>
      </c>
      <c r="CI119">
        <v>38.9</v>
      </c>
      <c r="CJ119" t="s">
        <v>139</v>
      </c>
      <c r="CK119">
        <v>0</v>
      </c>
      <c r="CL119">
        <v>13</v>
      </c>
      <c r="CM119" t="s">
        <v>570</v>
      </c>
      <c r="CN119">
        <v>2.5399999999999999E-2</v>
      </c>
      <c r="CO119">
        <v>13.55</v>
      </c>
      <c r="CP119">
        <v>0</v>
      </c>
      <c r="CQ119" t="s">
        <v>137</v>
      </c>
      <c r="CR119">
        <v>0.19</v>
      </c>
      <c r="CS119">
        <v>0.19</v>
      </c>
      <c r="CT119">
        <v>0</v>
      </c>
      <c r="CU119">
        <v>0.19</v>
      </c>
      <c r="CV119">
        <v>1</v>
      </c>
      <c r="CW119">
        <v>0.158</v>
      </c>
      <c r="CX119">
        <v>1.0553999999999999</v>
      </c>
      <c r="CY119">
        <v>66.86</v>
      </c>
      <c r="CZ119">
        <v>12.32</v>
      </c>
      <c r="DA119" t="s">
        <v>201</v>
      </c>
      <c r="DB119">
        <v>0</v>
      </c>
      <c r="DC119">
        <v>0</v>
      </c>
      <c r="DD119">
        <v>1</v>
      </c>
      <c r="DE119">
        <v>0</v>
      </c>
      <c r="DF119">
        <v>0</v>
      </c>
      <c r="DG119">
        <v>-51943273</v>
      </c>
      <c r="DH119">
        <v>-8.42</v>
      </c>
      <c r="DI119">
        <v>-28.86</v>
      </c>
      <c r="DJ119">
        <v>50139990</v>
      </c>
      <c r="DK119">
        <v>-102083263</v>
      </c>
      <c r="DL119">
        <v>13660380</v>
      </c>
      <c r="DM119">
        <v>469262144</v>
      </c>
      <c r="DN119">
        <v>-455601764</v>
      </c>
      <c r="DO119">
        <v>0.03</v>
      </c>
      <c r="DP119">
        <v>1.31</v>
      </c>
      <c r="DQ119">
        <v>0.95</v>
      </c>
      <c r="DR119">
        <v>1.17</v>
      </c>
      <c r="DS119">
        <v>66.86</v>
      </c>
      <c r="DT119">
        <v>12.32</v>
      </c>
      <c r="DU119">
        <v>1.17</v>
      </c>
      <c r="DV119">
        <v>15.35</v>
      </c>
      <c r="DW119" t="s">
        <v>137</v>
      </c>
      <c r="DX119">
        <v>1.1599999999999999</v>
      </c>
      <c r="DY119">
        <v>0</v>
      </c>
      <c r="DZ119">
        <v>33</v>
      </c>
      <c r="EA119">
        <v>25</v>
      </c>
      <c r="EB119">
        <v>2</v>
      </c>
      <c r="EC119">
        <v>58</v>
      </c>
      <c r="ED119">
        <v>0</v>
      </c>
    </row>
    <row r="120" spans="1:134" hidden="1" x14ac:dyDescent="0.2">
      <c r="A120" s="2" t="s">
        <v>571</v>
      </c>
      <c r="B120" s="2" t="s">
        <v>572</v>
      </c>
      <c r="C120" s="2" t="s">
        <v>186</v>
      </c>
      <c r="D120" s="2" t="s">
        <v>573</v>
      </c>
      <c r="E120" s="2">
        <v>466925120</v>
      </c>
      <c r="F120" s="2">
        <v>4.16</v>
      </c>
      <c r="G120" s="2">
        <v>4.43</v>
      </c>
      <c r="H120" s="2">
        <v>4.4000000000000004</v>
      </c>
      <c r="I120" s="2">
        <v>4.34</v>
      </c>
      <c r="J120" s="2">
        <v>4.3099999999999996</v>
      </c>
      <c r="K120" s="2">
        <v>4.4000000000000004</v>
      </c>
      <c r="L120" s="2">
        <v>4.4000000000000004</v>
      </c>
      <c r="M120" s="2">
        <v>4.46</v>
      </c>
      <c r="N120" s="2">
        <v>4.47</v>
      </c>
      <c r="O120" s="2">
        <v>4.54</v>
      </c>
      <c r="P120" s="2">
        <v>0.19</v>
      </c>
      <c r="Q120" s="2">
        <v>3.97</v>
      </c>
      <c r="R120" s="2">
        <v>5.39</v>
      </c>
      <c r="S120" s="2">
        <v>4.53</v>
      </c>
      <c r="T120" s="2">
        <v>-0.3</v>
      </c>
      <c r="U120" s="2">
        <v>3.5</v>
      </c>
      <c r="V120" s="2">
        <v>4.0599999999999996</v>
      </c>
      <c r="W120" s="2">
        <v>3.96</v>
      </c>
      <c r="X120" s="2">
        <v>3.12</v>
      </c>
      <c r="Y120" s="2" t="s">
        <v>137</v>
      </c>
      <c r="Z120" s="2" t="s">
        <v>137</v>
      </c>
      <c r="AA120" s="2" t="s">
        <v>137</v>
      </c>
      <c r="AB120" s="2">
        <v>213200</v>
      </c>
      <c r="AC120" s="2">
        <v>88800</v>
      </c>
      <c r="AD120" s="2">
        <v>147500</v>
      </c>
      <c r="AE120" s="2">
        <v>182800</v>
      </c>
      <c r="AF120" s="2">
        <v>298500</v>
      </c>
      <c r="AG120" s="2">
        <f>AVERAGE(AB120:AF120)</f>
        <v>186160</v>
      </c>
      <c r="AH120" s="2">
        <v>1</v>
      </c>
      <c r="AI120" s="2">
        <v>0</v>
      </c>
      <c r="AJ120" s="2">
        <v>1</v>
      </c>
      <c r="AK120" s="2">
        <v>1</v>
      </c>
      <c r="AL120" s="2">
        <v>1</v>
      </c>
      <c r="AM120" s="2">
        <v>1</v>
      </c>
      <c r="AN120" s="2">
        <v>0</v>
      </c>
      <c r="AO120" s="2">
        <v>0</v>
      </c>
      <c r="AP120" s="2">
        <v>0</v>
      </c>
      <c r="AQ120" s="2">
        <v>0</v>
      </c>
      <c r="AR120" s="2">
        <v>1</v>
      </c>
      <c r="AS120" s="2">
        <v>2.87</v>
      </c>
      <c r="AT120" s="2">
        <v>4.92</v>
      </c>
      <c r="AU120" s="2">
        <v>81.5</v>
      </c>
      <c r="AV120" s="2">
        <v>18.5</v>
      </c>
      <c r="AW120" s="2">
        <v>1</v>
      </c>
      <c r="AX120" s="2">
        <v>1</v>
      </c>
      <c r="AY120" s="2">
        <v>70.2</v>
      </c>
      <c r="AZ120" s="2">
        <v>66.099999999999994</v>
      </c>
      <c r="BA120" s="2">
        <v>67.5</v>
      </c>
      <c r="BB120" s="2">
        <v>68.7</v>
      </c>
      <c r="BC120" s="2">
        <v>70.400000000000006</v>
      </c>
      <c r="BD120" s="2">
        <v>0</v>
      </c>
      <c r="BE120" s="2">
        <v>44.8</v>
      </c>
      <c r="BF120" s="2">
        <v>38.299999999999997</v>
      </c>
      <c r="BG120" s="2">
        <v>0</v>
      </c>
      <c r="BH120" s="2">
        <v>0</v>
      </c>
      <c r="BI120" s="2">
        <v>40.9</v>
      </c>
      <c r="BJ120" s="2">
        <v>1</v>
      </c>
      <c r="BK120" s="2">
        <v>0</v>
      </c>
      <c r="BL120" s="2">
        <v>0</v>
      </c>
      <c r="BM120" s="2">
        <v>1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1.3333299999999999</v>
      </c>
      <c r="BV120" s="2">
        <v>8.75</v>
      </c>
      <c r="BW120" s="2">
        <v>11</v>
      </c>
      <c r="BX120" s="2">
        <v>7</v>
      </c>
      <c r="BY120" s="2">
        <v>1</v>
      </c>
      <c r="BZ120" s="2">
        <v>2</v>
      </c>
      <c r="CA120" s="2">
        <v>0</v>
      </c>
      <c r="CB120" s="2">
        <v>0</v>
      </c>
      <c r="CC120" s="2">
        <v>0</v>
      </c>
      <c r="CD120" s="2">
        <v>3</v>
      </c>
      <c r="CE120" s="2">
        <v>3</v>
      </c>
      <c r="CF120" s="2">
        <v>0</v>
      </c>
      <c r="CG120" s="2">
        <v>0</v>
      </c>
      <c r="CH120" s="2" t="s">
        <v>268</v>
      </c>
      <c r="CI120" s="2">
        <v>92.7</v>
      </c>
      <c r="CJ120" s="2" t="s">
        <v>237</v>
      </c>
      <c r="CK120" s="2">
        <v>0</v>
      </c>
      <c r="CL120" s="2">
        <v>8.75</v>
      </c>
      <c r="CM120" s="2" t="s">
        <v>574</v>
      </c>
      <c r="CN120" s="2">
        <v>3.6700000000000003E-2</v>
      </c>
      <c r="CO120" s="2">
        <v>4.07</v>
      </c>
      <c r="CP120" s="2">
        <v>0</v>
      </c>
      <c r="CQ120" s="2" t="s">
        <v>137</v>
      </c>
      <c r="CR120" s="2">
        <v>0.11749999999999999</v>
      </c>
      <c r="CS120" s="2">
        <v>0.12</v>
      </c>
      <c r="CT120" s="2">
        <v>-2.5000000000000018E-3</v>
      </c>
      <c r="CU120" s="2">
        <v>0.11749999999999999</v>
      </c>
      <c r="CV120" s="2">
        <v>4</v>
      </c>
      <c r="CW120" s="2">
        <v>-2.0799999999999999E-2</v>
      </c>
      <c r="CX120" s="2">
        <v>-0.08</v>
      </c>
      <c r="CY120" s="2">
        <v>9.4600000000000009</v>
      </c>
      <c r="CZ120" s="2">
        <v>8.41</v>
      </c>
      <c r="DA120" s="2" t="s">
        <v>282</v>
      </c>
      <c r="DB120" s="2">
        <v>0</v>
      </c>
      <c r="DC120" s="2">
        <v>0</v>
      </c>
      <c r="DD120" s="2">
        <v>1.5</v>
      </c>
      <c r="DE120" s="2">
        <v>0</v>
      </c>
      <c r="DF120" s="2">
        <v>0</v>
      </c>
      <c r="DG120" s="2">
        <v>21964463</v>
      </c>
      <c r="DH120" s="2">
        <v>4.7</v>
      </c>
      <c r="DI120" s="2">
        <v>12.54</v>
      </c>
      <c r="DJ120" s="2">
        <v>24668496</v>
      </c>
      <c r="DK120" s="2">
        <v>-2704033</v>
      </c>
      <c r="DL120" s="2">
        <v>184619136</v>
      </c>
      <c r="DM120" s="2">
        <v>48233080</v>
      </c>
      <c r="DN120" s="2">
        <v>136386056</v>
      </c>
      <c r="DO120" s="2">
        <v>3.83</v>
      </c>
      <c r="DP120" s="2">
        <v>3.31</v>
      </c>
      <c r="DQ120" s="2">
        <v>3.19</v>
      </c>
      <c r="DR120" s="2">
        <v>1.74</v>
      </c>
      <c r="DS120" s="2">
        <v>9.4600000000000009</v>
      </c>
      <c r="DT120" s="2">
        <v>8.41</v>
      </c>
      <c r="DU120" s="2">
        <v>1.74</v>
      </c>
      <c r="DV120" s="2">
        <v>5.05</v>
      </c>
      <c r="DW120" s="2">
        <v>21.26</v>
      </c>
      <c r="DX120" s="2">
        <v>0</v>
      </c>
      <c r="DY120" s="2">
        <v>0</v>
      </c>
      <c r="DZ120" s="2">
        <v>41</v>
      </c>
      <c r="EA120" s="2">
        <v>25</v>
      </c>
      <c r="EB120" s="2">
        <v>2</v>
      </c>
      <c r="EC120" s="2">
        <v>66</v>
      </c>
      <c r="ED120" s="2">
        <v>0</v>
      </c>
    </row>
    <row r="121" spans="1:134" hidden="1" x14ac:dyDescent="0.2">
      <c r="A121" t="s">
        <v>575</v>
      </c>
      <c r="B121" t="s">
        <v>576</v>
      </c>
      <c r="C121" t="s">
        <v>135</v>
      </c>
      <c r="D121" t="s">
        <v>163</v>
      </c>
      <c r="E121">
        <v>181274240</v>
      </c>
      <c r="F121">
        <v>30.05</v>
      </c>
      <c r="G121">
        <v>29.31</v>
      </c>
      <c r="H121">
        <v>29.3</v>
      </c>
      <c r="I121">
        <v>29.03</v>
      </c>
      <c r="J121">
        <v>29.04</v>
      </c>
      <c r="K121">
        <v>29.44</v>
      </c>
      <c r="L121">
        <v>29.33</v>
      </c>
      <c r="M121">
        <v>29.14</v>
      </c>
      <c r="N121">
        <v>29.14</v>
      </c>
      <c r="O121">
        <v>28.99</v>
      </c>
      <c r="P121">
        <v>0.98</v>
      </c>
      <c r="Q121">
        <v>26.26</v>
      </c>
      <c r="R121">
        <v>33.08</v>
      </c>
      <c r="S121">
        <v>28.31</v>
      </c>
      <c r="T121">
        <v>-2.2999999999999998</v>
      </c>
      <c r="U121">
        <v>27.19</v>
      </c>
      <c r="V121">
        <v>26.75</v>
      </c>
      <c r="W121">
        <v>26.18</v>
      </c>
      <c r="X121">
        <v>24.52</v>
      </c>
      <c r="Y121">
        <v>30.07</v>
      </c>
      <c r="Z121" t="s">
        <v>137</v>
      </c>
      <c r="AA121" t="s">
        <v>137</v>
      </c>
      <c r="AB121">
        <v>21100</v>
      </c>
      <c r="AC121">
        <v>8400</v>
      </c>
      <c r="AD121">
        <v>9500</v>
      </c>
      <c r="AE121">
        <v>7400</v>
      </c>
      <c r="AF121">
        <v>10300</v>
      </c>
      <c r="AG121" s="2">
        <f>AVERAGE(AB121:AF121)</f>
        <v>11340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1</v>
      </c>
      <c r="AS121">
        <v>18.22</v>
      </c>
      <c r="AT121">
        <v>29.99</v>
      </c>
      <c r="AU121">
        <v>91.5</v>
      </c>
      <c r="AV121">
        <v>8.5</v>
      </c>
      <c r="AW121">
        <v>0</v>
      </c>
      <c r="AX121">
        <v>0</v>
      </c>
      <c r="AY121">
        <v>64.599999999999994</v>
      </c>
      <c r="AZ121">
        <v>61.7</v>
      </c>
      <c r="BA121">
        <v>64.2</v>
      </c>
      <c r="BB121">
        <v>61.1</v>
      </c>
      <c r="BC121">
        <v>59.5</v>
      </c>
      <c r="BD121">
        <v>0</v>
      </c>
      <c r="BE121">
        <v>45.2</v>
      </c>
      <c r="BF121">
        <v>52.3</v>
      </c>
      <c r="BG121">
        <v>0</v>
      </c>
      <c r="BH121">
        <v>0</v>
      </c>
      <c r="BI121">
        <v>25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 t="s">
        <v>137</v>
      </c>
      <c r="BV121">
        <v>29</v>
      </c>
      <c r="BW121">
        <v>29</v>
      </c>
      <c r="BX121">
        <v>29</v>
      </c>
      <c r="BY121">
        <v>0</v>
      </c>
      <c r="BZ121">
        <v>1</v>
      </c>
      <c r="CA121">
        <v>0</v>
      </c>
      <c r="CB121">
        <v>0</v>
      </c>
      <c r="CC121">
        <v>0</v>
      </c>
      <c r="CD121">
        <v>1</v>
      </c>
      <c r="CE121">
        <v>1</v>
      </c>
      <c r="CF121">
        <v>0</v>
      </c>
      <c r="CG121">
        <v>0</v>
      </c>
      <c r="CH121" t="s">
        <v>152</v>
      </c>
      <c r="CI121">
        <v>0</v>
      </c>
      <c r="CJ121" t="s">
        <v>139</v>
      </c>
      <c r="CK121">
        <v>1</v>
      </c>
      <c r="CL121">
        <v>29</v>
      </c>
      <c r="CM121" t="s">
        <v>577</v>
      </c>
      <c r="CN121">
        <v>3.8999999999999998E-3</v>
      </c>
      <c r="CO121">
        <v>1.44</v>
      </c>
      <c r="CP121">
        <v>1</v>
      </c>
      <c r="CQ121" t="s">
        <v>137</v>
      </c>
      <c r="CR121">
        <v>0.62</v>
      </c>
      <c r="CS121">
        <v>0.6</v>
      </c>
      <c r="CT121">
        <v>2.0000000000000021E-2</v>
      </c>
      <c r="CU121">
        <v>0.62</v>
      </c>
      <c r="CV121">
        <v>1</v>
      </c>
      <c r="CW121">
        <v>-8.8199995000000003E-2</v>
      </c>
      <c r="CX121">
        <v>0.1082</v>
      </c>
      <c r="CY121">
        <v>10.86</v>
      </c>
      <c r="CZ121">
        <v>11.15</v>
      </c>
      <c r="DA121" t="s">
        <v>165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21437000</v>
      </c>
      <c r="DH121">
        <v>11.83</v>
      </c>
      <c r="DI121">
        <v>31.72</v>
      </c>
      <c r="DJ121">
        <v>24039000</v>
      </c>
      <c r="DK121">
        <v>-2602000</v>
      </c>
      <c r="DL121">
        <v>143203008</v>
      </c>
      <c r="DM121">
        <v>61923000</v>
      </c>
      <c r="DN121">
        <v>81280008</v>
      </c>
      <c r="DO121">
        <v>2.31</v>
      </c>
      <c r="DP121" t="s">
        <v>137</v>
      </c>
      <c r="DQ121" t="s">
        <v>137</v>
      </c>
      <c r="DR121" t="s">
        <v>137</v>
      </c>
      <c r="DS121">
        <v>10.86</v>
      </c>
      <c r="DT121">
        <v>11.15</v>
      </c>
      <c r="DU121" t="s">
        <v>137</v>
      </c>
      <c r="DV121" t="s">
        <v>137</v>
      </c>
      <c r="DW121">
        <v>8.4600000000000009</v>
      </c>
      <c r="DX121">
        <v>1.53</v>
      </c>
      <c r="DY121">
        <v>0</v>
      </c>
      <c r="DZ121">
        <v>36</v>
      </c>
      <c r="EA121">
        <v>10</v>
      </c>
      <c r="EB121">
        <v>1</v>
      </c>
      <c r="EC121">
        <v>46</v>
      </c>
      <c r="ED121">
        <v>0</v>
      </c>
    </row>
    <row r="122" spans="1:134" hidden="1" x14ac:dyDescent="0.2">
      <c r="A122" s="2" t="s">
        <v>578</v>
      </c>
      <c r="B122" s="2" t="s">
        <v>579</v>
      </c>
      <c r="C122" s="2" t="s">
        <v>135</v>
      </c>
      <c r="D122" s="2" t="s">
        <v>163</v>
      </c>
      <c r="E122" s="2">
        <v>784915968</v>
      </c>
      <c r="F122" s="2">
        <v>23.53</v>
      </c>
      <c r="G122" s="2">
        <v>23.19</v>
      </c>
      <c r="H122" s="2">
        <v>23.13</v>
      </c>
      <c r="I122" s="2">
        <v>23.13</v>
      </c>
      <c r="J122" s="2">
        <v>23</v>
      </c>
      <c r="K122" s="2">
        <v>23.4</v>
      </c>
      <c r="L122" s="2">
        <v>23.66</v>
      </c>
      <c r="M122" s="2">
        <v>23.44</v>
      </c>
      <c r="N122" s="2">
        <v>23.27</v>
      </c>
      <c r="O122" s="2">
        <v>23.52</v>
      </c>
      <c r="P122" s="2">
        <v>0.42</v>
      </c>
      <c r="Q122" s="2">
        <v>23.22</v>
      </c>
      <c r="R122" s="2">
        <v>23.97</v>
      </c>
      <c r="S122" s="2">
        <v>23.55</v>
      </c>
      <c r="T122" s="2">
        <v>0.1</v>
      </c>
      <c r="U122" s="2">
        <v>23.42</v>
      </c>
      <c r="V122" s="2">
        <v>23.43</v>
      </c>
      <c r="W122" s="2">
        <v>22.85</v>
      </c>
      <c r="X122" s="2">
        <v>22.44</v>
      </c>
      <c r="Y122" s="2">
        <v>23.59</v>
      </c>
      <c r="Z122" s="2">
        <v>24.43</v>
      </c>
      <c r="AA122" s="2">
        <v>24.89</v>
      </c>
      <c r="AB122" s="2">
        <v>148800</v>
      </c>
      <c r="AC122" s="2">
        <v>147700</v>
      </c>
      <c r="AD122" s="2">
        <v>152900</v>
      </c>
      <c r="AE122" s="2">
        <v>138300</v>
      </c>
      <c r="AF122" s="2">
        <v>154300</v>
      </c>
      <c r="AG122" s="2">
        <f>AVERAGE(AB122:AF122)</f>
        <v>148400</v>
      </c>
      <c r="AH122" s="2">
        <v>0</v>
      </c>
      <c r="AI122" s="2">
        <v>0</v>
      </c>
      <c r="AJ122" s="2">
        <v>1</v>
      </c>
      <c r="AK122" s="2">
        <v>0</v>
      </c>
      <c r="AL122" s="2">
        <v>1</v>
      </c>
      <c r="AM122" s="2">
        <v>0</v>
      </c>
      <c r="AN122" s="2">
        <v>0</v>
      </c>
      <c r="AO122" s="2">
        <v>1</v>
      </c>
      <c r="AP122" s="2">
        <v>0</v>
      </c>
      <c r="AQ122" s="2">
        <v>1</v>
      </c>
      <c r="AR122" s="2">
        <v>1</v>
      </c>
      <c r="AS122" s="2">
        <v>15.21</v>
      </c>
      <c r="AT122" s="2">
        <v>24.61</v>
      </c>
      <c r="AU122" s="2">
        <v>88.4</v>
      </c>
      <c r="AV122" s="2">
        <v>11.6</v>
      </c>
      <c r="AW122" s="2">
        <v>0</v>
      </c>
      <c r="AX122" s="2">
        <v>1</v>
      </c>
      <c r="AY122" s="2">
        <v>47.6</v>
      </c>
      <c r="AZ122" s="2">
        <v>46.6</v>
      </c>
      <c r="BA122" s="2">
        <v>51.4</v>
      </c>
      <c r="BB122" s="2">
        <v>52.1</v>
      </c>
      <c r="BC122" s="2">
        <v>53.6</v>
      </c>
      <c r="BD122" s="2">
        <v>0</v>
      </c>
      <c r="BE122" s="2">
        <v>82.5</v>
      </c>
      <c r="BF122" s="2">
        <v>71.2</v>
      </c>
      <c r="BG122" s="2">
        <v>0</v>
      </c>
      <c r="BH122" s="2">
        <v>0</v>
      </c>
      <c r="BI122" s="2">
        <v>29.3</v>
      </c>
      <c r="BJ122" s="2">
        <v>1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 t="s">
        <v>137</v>
      </c>
      <c r="BV122" s="2">
        <v>25.75</v>
      </c>
      <c r="BW122" s="2">
        <v>26.5</v>
      </c>
      <c r="BX122" s="2">
        <v>25</v>
      </c>
      <c r="BY122" s="2">
        <v>1</v>
      </c>
      <c r="BZ122" s="2">
        <v>1</v>
      </c>
      <c r="CA122" s="2">
        <v>2</v>
      </c>
      <c r="CB122" s="2">
        <v>0</v>
      </c>
      <c r="CC122" s="2">
        <v>0</v>
      </c>
      <c r="CD122" s="2">
        <v>4</v>
      </c>
      <c r="CE122" s="2">
        <v>2</v>
      </c>
      <c r="CF122" s="2">
        <v>2</v>
      </c>
      <c r="CG122" s="2">
        <v>0</v>
      </c>
      <c r="CH122" s="2" t="s">
        <v>152</v>
      </c>
      <c r="CI122" s="2">
        <v>9.5</v>
      </c>
      <c r="CJ122" s="2" t="s">
        <v>139</v>
      </c>
      <c r="CK122" s="2">
        <v>1</v>
      </c>
      <c r="CL122" s="2">
        <v>25.75</v>
      </c>
      <c r="CM122" s="2" t="s">
        <v>580</v>
      </c>
      <c r="CN122" s="2">
        <v>3.0599999999999999E-2</v>
      </c>
      <c r="CO122" s="2">
        <v>4.9000000000000004</v>
      </c>
      <c r="CP122" s="2">
        <v>2</v>
      </c>
      <c r="CQ122" s="2" t="s">
        <v>137</v>
      </c>
      <c r="CR122" s="2">
        <v>0.53749999999999998</v>
      </c>
      <c r="CS122" s="2">
        <v>0.55000000000000004</v>
      </c>
      <c r="CT122" s="2">
        <v>-1.250000000000007E-2</v>
      </c>
      <c r="CU122" s="2">
        <v>0.53749999999999998</v>
      </c>
      <c r="CV122" s="2">
        <v>4</v>
      </c>
      <c r="CW122" s="2">
        <v>0.25</v>
      </c>
      <c r="CX122" s="2">
        <v>0.21629999999999999</v>
      </c>
      <c r="CY122" s="2">
        <v>11.94</v>
      </c>
      <c r="CZ122" s="2">
        <v>10.36</v>
      </c>
      <c r="DA122" s="2" t="s">
        <v>214</v>
      </c>
      <c r="DB122" s="2">
        <v>0</v>
      </c>
      <c r="DC122" s="2">
        <v>1</v>
      </c>
      <c r="DD122" s="2">
        <v>1</v>
      </c>
      <c r="DE122" s="2">
        <v>0</v>
      </c>
      <c r="DF122" s="2">
        <v>0</v>
      </c>
      <c r="DG122" s="2">
        <v>59223000</v>
      </c>
      <c r="DH122" s="2">
        <v>7.55</v>
      </c>
      <c r="DI122" s="2">
        <v>25.73</v>
      </c>
      <c r="DJ122" s="2">
        <v>62391000</v>
      </c>
      <c r="DK122" s="2">
        <v>-3168000</v>
      </c>
      <c r="DL122" s="2">
        <v>257930000</v>
      </c>
      <c r="DM122" s="2">
        <v>99466000</v>
      </c>
      <c r="DN122" s="2">
        <v>158464000</v>
      </c>
      <c r="DO122" s="2">
        <v>2.59</v>
      </c>
      <c r="DP122" s="2" t="s">
        <v>137</v>
      </c>
      <c r="DQ122" s="2" t="s">
        <v>137</v>
      </c>
      <c r="DR122" s="2">
        <v>1.17</v>
      </c>
      <c r="DS122" s="2">
        <v>11.94</v>
      </c>
      <c r="DT122" s="2">
        <v>10.36</v>
      </c>
      <c r="DU122" s="2">
        <v>1.17</v>
      </c>
      <c r="DV122" s="2" t="s">
        <v>137</v>
      </c>
      <c r="DW122" s="2">
        <v>13.25</v>
      </c>
      <c r="DX122" s="2">
        <v>0</v>
      </c>
      <c r="DY122" s="2">
        <v>0</v>
      </c>
      <c r="DZ122" s="2">
        <v>36</v>
      </c>
      <c r="EA122" s="2">
        <v>20</v>
      </c>
      <c r="EB122" s="2">
        <v>2</v>
      </c>
      <c r="EC122" s="2">
        <v>56</v>
      </c>
      <c r="ED122" s="2">
        <v>0</v>
      </c>
    </row>
    <row r="123" spans="1:134" hidden="1" x14ac:dyDescent="0.2">
      <c r="A123" s="2" t="s">
        <v>197</v>
      </c>
      <c r="B123" s="2" t="s">
        <v>198</v>
      </c>
      <c r="C123" s="2" t="s">
        <v>144</v>
      </c>
      <c r="D123" s="2" t="s">
        <v>199</v>
      </c>
      <c r="E123" s="2">
        <v>898895680</v>
      </c>
      <c r="F123" s="2">
        <v>14.04</v>
      </c>
      <c r="G123" s="2">
        <v>13.83</v>
      </c>
      <c r="H123" s="2">
        <v>13.68</v>
      </c>
      <c r="I123" s="2">
        <v>13.63</v>
      </c>
      <c r="J123" s="2">
        <v>13.52</v>
      </c>
      <c r="K123" s="2">
        <v>13.06</v>
      </c>
      <c r="L123" s="2">
        <v>13.28</v>
      </c>
      <c r="M123" s="2">
        <v>12.98</v>
      </c>
      <c r="N123" s="2">
        <v>13</v>
      </c>
      <c r="O123" s="2">
        <v>13.16</v>
      </c>
      <c r="P123" s="2">
        <v>0.46</v>
      </c>
      <c r="Q123" s="2">
        <v>12.45</v>
      </c>
      <c r="R123" s="2">
        <v>14.22</v>
      </c>
      <c r="S123" s="2">
        <v>13.17</v>
      </c>
      <c r="T123" s="2">
        <v>0.1</v>
      </c>
      <c r="U123" s="2">
        <v>13.23</v>
      </c>
      <c r="V123" s="2">
        <v>12.68</v>
      </c>
      <c r="W123" s="2">
        <v>12.43</v>
      </c>
      <c r="X123" s="2">
        <v>11.36</v>
      </c>
      <c r="Y123" s="2">
        <v>13.55</v>
      </c>
      <c r="Z123" s="2">
        <v>14.5</v>
      </c>
      <c r="AA123" s="2">
        <v>14.92</v>
      </c>
      <c r="AB123" s="2">
        <v>479000</v>
      </c>
      <c r="AC123" s="2">
        <v>435600</v>
      </c>
      <c r="AD123" s="2">
        <v>528100</v>
      </c>
      <c r="AE123" s="2">
        <v>421800</v>
      </c>
      <c r="AF123" s="2">
        <v>363400</v>
      </c>
      <c r="AG123" s="2">
        <f>AVERAGE(AB123:AF123)</f>
        <v>445580</v>
      </c>
      <c r="AH123" s="2">
        <v>0</v>
      </c>
      <c r="AI123" s="2">
        <v>0</v>
      </c>
      <c r="AJ123" s="2">
        <v>0</v>
      </c>
      <c r="AK123" s="2">
        <v>0</v>
      </c>
      <c r="AL123" s="2">
        <v>1</v>
      </c>
      <c r="AM123" s="2">
        <v>0</v>
      </c>
      <c r="AN123" s="2">
        <v>0</v>
      </c>
      <c r="AO123" s="2">
        <v>0</v>
      </c>
      <c r="AP123" s="2">
        <v>0</v>
      </c>
      <c r="AQ123" s="2">
        <v>1</v>
      </c>
      <c r="AR123" s="2">
        <v>0</v>
      </c>
      <c r="AS123" s="2">
        <v>6.51</v>
      </c>
      <c r="AT123" s="2">
        <v>15.26</v>
      </c>
      <c r="AU123" s="2">
        <v>76</v>
      </c>
      <c r="AV123" s="2">
        <v>24</v>
      </c>
      <c r="AW123" s="2">
        <v>0</v>
      </c>
      <c r="AX123" s="2">
        <v>0</v>
      </c>
      <c r="AY123" s="2">
        <v>52</v>
      </c>
      <c r="AZ123" s="2">
        <v>49.1</v>
      </c>
      <c r="BA123" s="2">
        <v>42.1</v>
      </c>
      <c r="BB123" s="2">
        <v>41.2</v>
      </c>
      <c r="BC123" s="2">
        <v>44.1</v>
      </c>
      <c r="BD123" s="2">
        <v>1</v>
      </c>
      <c r="BE123" s="2">
        <v>5</v>
      </c>
      <c r="BF123" s="2">
        <v>1.9</v>
      </c>
      <c r="BG123" s="2">
        <v>0</v>
      </c>
      <c r="BH123" s="2">
        <v>0</v>
      </c>
      <c r="BI123" s="2">
        <v>26.6</v>
      </c>
      <c r="BJ123" s="2">
        <v>1</v>
      </c>
      <c r="BK123" s="2">
        <v>1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 t="s">
        <v>137</v>
      </c>
      <c r="BV123" s="2">
        <v>17.600000000000001</v>
      </c>
      <c r="BW123" s="2">
        <v>19</v>
      </c>
      <c r="BX123" s="2">
        <v>15</v>
      </c>
      <c r="BY123" s="2">
        <v>2</v>
      </c>
      <c r="BZ123" s="2">
        <v>3</v>
      </c>
      <c r="CA123" s="2">
        <v>0</v>
      </c>
      <c r="CB123" s="2">
        <v>0</v>
      </c>
      <c r="CC123" s="2">
        <v>0</v>
      </c>
      <c r="CD123" s="2">
        <v>5</v>
      </c>
      <c r="CE123" s="2">
        <v>5</v>
      </c>
      <c r="CF123" s="2">
        <v>0</v>
      </c>
      <c r="CG123" s="2">
        <v>0</v>
      </c>
      <c r="CH123" s="2" t="s">
        <v>152</v>
      </c>
      <c r="CI123" s="2">
        <v>33.700000000000003</v>
      </c>
      <c r="CJ123" s="2" t="s">
        <v>139</v>
      </c>
      <c r="CK123" s="2">
        <v>0</v>
      </c>
      <c r="CL123" s="2">
        <v>17.600000000000001</v>
      </c>
      <c r="CM123" s="2" t="s">
        <v>200</v>
      </c>
      <c r="CN123" s="2">
        <v>5.5E-2</v>
      </c>
      <c r="CO123" s="2">
        <v>3.29</v>
      </c>
      <c r="CP123" s="2">
        <v>0</v>
      </c>
      <c r="CQ123" s="2" t="s">
        <v>137</v>
      </c>
      <c r="CR123" s="2">
        <v>0.16</v>
      </c>
      <c r="CS123" s="2">
        <v>0.17599999999999999</v>
      </c>
      <c r="CT123" s="2">
        <v>-1.599999999999999E-2</v>
      </c>
      <c r="CU123" s="2">
        <v>0.16</v>
      </c>
      <c r="CV123" s="2">
        <v>5</v>
      </c>
      <c r="CW123" s="2">
        <v>6.6700003999999993E-2</v>
      </c>
      <c r="CX123" s="2">
        <v>0.14410000000000001</v>
      </c>
      <c r="CY123" s="2">
        <v>16.87</v>
      </c>
      <c r="CZ123" s="2">
        <v>14.3</v>
      </c>
      <c r="DA123" s="2" t="s">
        <v>201</v>
      </c>
      <c r="DB123" s="2">
        <v>1</v>
      </c>
      <c r="DC123" s="2">
        <v>1</v>
      </c>
      <c r="DD123" s="2">
        <v>3</v>
      </c>
      <c r="DE123" s="2">
        <v>0</v>
      </c>
      <c r="DF123" s="2">
        <v>0</v>
      </c>
      <c r="DG123" s="2">
        <v>72111000</v>
      </c>
      <c r="DH123" s="2">
        <v>8.02</v>
      </c>
      <c r="DI123" s="2">
        <v>12.39</v>
      </c>
      <c r="DJ123" s="2">
        <v>74673000</v>
      </c>
      <c r="DK123" s="2">
        <v>-2562000</v>
      </c>
      <c r="DL123" s="2">
        <v>30394000</v>
      </c>
      <c r="DM123" s="2">
        <v>263748992</v>
      </c>
      <c r="DN123" s="2">
        <v>-233354992</v>
      </c>
      <c r="DO123" s="2">
        <v>0.12</v>
      </c>
      <c r="DP123" s="2">
        <v>1.69</v>
      </c>
      <c r="DQ123" s="2">
        <v>1.1100000000000001</v>
      </c>
      <c r="DR123" s="2">
        <v>1.53</v>
      </c>
      <c r="DS123" s="2">
        <v>16.87</v>
      </c>
      <c r="DT123" s="2">
        <v>14.3</v>
      </c>
      <c r="DU123" s="2">
        <v>1.53</v>
      </c>
      <c r="DV123" s="2">
        <v>14.74</v>
      </c>
      <c r="DW123" s="2">
        <v>12.47</v>
      </c>
      <c r="DX123" s="2">
        <v>4.84</v>
      </c>
      <c r="DY123" s="2">
        <v>0</v>
      </c>
      <c r="DZ123" s="2">
        <v>21</v>
      </c>
      <c r="EA123" s="2">
        <v>20</v>
      </c>
      <c r="EB123" s="2">
        <v>1</v>
      </c>
      <c r="EC123" s="2">
        <v>41</v>
      </c>
      <c r="ED123" s="2">
        <v>0</v>
      </c>
    </row>
    <row r="124" spans="1:134" hidden="1" x14ac:dyDescent="0.2">
      <c r="A124" s="2" t="s">
        <v>585</v>
      </c>
      <c r="B124" s="2" t="s">
        <v>586</v>
      </c>
      <c r="C124" s="2" t="s">
        <v>157</v>
      </c>
      <c r="D124" s="2" t="s">
        <v>587</v>
      </c>
      <c r="E124" s="2">
        <v>788445568</v>
      </c>
      <c r="F124" s="2">
        <v>13.8</v>
      </c>
      <c r="G124" s="2">
        <v>13.71</v>
      </c>
      <c r="H124" s="2">
        <v>13.73</v>
      </c>
      <c r="I124" s="2">
        <v>13.91</v>
      </c>
      <c r="J124" s="2">
        <v>14.05</v>
      </c>
      <c r="K124" s="2">
        <v>13.92</v>
      </c>
      <c r="L124" s="2">
        <v>14.04</v>
      </c>
      <c r="M124" s="2">
        <v>13.82</v>
      </c>
      <c r="N124" s="2">
        <v>13.74</v>
      </c>
      <c r="O124" s="2">
        <v>13.95</v>
      </c>
      <c r="P124" s="2">
        <v>0.37</v>
      </c>
      <c r="Q124" s="2">
        <v>13.58</v>
      </c>
      <c r="R124" s="2">
        <v>14.5</v>
      </c>
      <c r="S124" s="2">
        <v>13.95</v>
      </c>
      <c r="T124" s="2">
        <v>0</v>
      </c>
      <c r="U124" s="2">
        <v>13.88</v>
      </c>
      <c r="V124" s="2">
        <v>13.77</v>
      </c>
      <c r="W124" s="2">
        <v>13.37</v>
      </c>
      <c r="X124" s="2">
        <v>13.15</v>
      </c>
      <c r="Y124" s="2">
        <v>14.06</v>
      </c>
      <c r="Z124" s="2">
        <v>14.27</v>
      </c>
      <c r="AA124" s="2">
        <v>14.5</v>
      </c>
      <c r="AB124" s="2">
        <v>26100</v>
      </c>
      <c r="AC124" s="2">
        <v>35200</v>
      </c>
      <c r="AD124" s="2">
        <v>36200</v>
      </c>
      <c r="AE124" s="2">
        <v>23900</v>
      </c>
      <c r="AF124" s="2">
        <v>25300</v>
      </c>
      <c r="AG124" s="2">
        <f>AVERAGE(AB124:AF124)</f>
        <v>29340</v>
      </c>
      <c r="AH124" s="2">
        <v>0</v>
      </c>
      <c r="AI124" s="2">
        <v>1</v>
      </c>
      <c r="AJ124" s="2">
        <v>0</v>
      </c>
      <c r="AK124" s="2">
        <v>0</v>
      </c>
      <c r="AL124" s="2">
        <v>1</v>
      </c>
      <c r="AM124" s="2">
        <v>0</v>
      </c>
      <c r="AN124" s="2">
        <v>1</v>
      </c>
      <c r="AO124" s="2">
        <v>0</v>
      </c>
      <c r="AP124" s="2">
        <v>0</v>
      </c>
      <c r="AQ124" s="2">
        <v>0</v>
      </c>
      <c r="AR124" s="2">
        <v>1</v>
      </c>
      <c r="AS124" s="2">
        <v>11.28</v>
      </c>
      <c r="AT124" s="2">
        <v>14.62</v>
      </c>
      <c r="AU124" s="2">
        <v>79.900000000000006</v>
      </c>
      <c r="AV124" s="2">
        <v>20.100000000000001</v>
      </c>
      <c r="AW124" s="2">
        <v>0</v>
      </c>
      <c r="AX124" s="2">
        <v>0</v>
      </c>
      <c r="AY124" s="2">
        <v>48.4</v>
      </c>
      <c r="AZ124" s="2">
        <v>53.6</v>
      </c>
      <c r="BA124" s="2">
        <v>53.8</v>
      </c>
      <c r="BB124" s="2">
        <v>50.9</v>
      </c>
      <c r="BC124" s="2">
        <v>54.4</v>
      </c>
      <c r="BD124" s="2">
        <v>0</v>
      </c>
      <c r="BE124" s="2">
        <v>91.5</v>
      </c>
      <c r="BF124" s="2">
        <v>90.2</v>
      </c>
      <c r="BG124" s="2">
        <v>0</v>
      </c>
      <c r="BH124" s="2">
        <v>0</v>
      </c>
      <c r="BI124" s="2">
        <v>21.8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 t="s">
        <v>137</v>
      </c>
      <c r="BV124" s="2">
        <v>15.642860000000001</v>
      </c>
      <c r="BW124" s="2">
        <v>16</v>
      </c>
      <c r="BX124" s="2">
        <v>14.5</v>
      </c>
      <c r="BY124" s="2">
        <v>1</v>
      </c>
      <c r="BZ124" s="2">
        <v>5</v>
      </c>
      <c r="CA124" s="2">
        <v>1</v>
      </c>
      <c r="CB124" s="2">
        <v>0</v>
      </c>
      <c r="CC124" s="2">
        <v>0</v>
      </c>
      <c r="CD124" s="2">
        <v>7</v>
      </c>
      <c r="CE124" s="2">
        <v>6</v>
      </c>
      <c r="CF124" s="2">
        <v>1</v>
      </c>
      <c r="CG124" s="2">
        <v>0</v>
      </c>
      <c r="CH124" s="2" t="s">
        <v>152</v>
      </c>
      <c r="CI124" s="2">
        <v>12.1</v>
      </c>
      <c r="CJ124" s="2" t="s">
        <v>139</v>
      </c>
      <c r="CK124" s="2">
        <v>1</v>
      </c>
      <c r="CL124" s="2">
        <v>15.56</v>
      </c>
      <c r="CM124" s="2" t="s">
        <v>588</v>
      </c>
      <c r="CN124" s="2">
        <v>1.1900000000000001E-2</v>
      </c>
      <c r="CO124" s="2">
        <v>3.29</v>
      </c>
      <c r="CP124" s="2">
        <v>1</v>
      </c>
      <c r="CQ124" s="2" t="s">
        <v>137</v>
      </c>
      <c r="CR124" s="2">
        <v>0.17</v>
      </c>
      <c r="CS124" s="2">
        <v>0.17</v>
      </c>
      <c r="CT124" s="2">
        <v>0</v>
      </c>
      <c r="CU124" s="2">
        <v>0.17</v>
      </c>
      <c r="CV124" s="2">
        <v>2</v>
      </c>
      <c r="CW124" s="2">
        <v>6.25E-2</v>
      </c>
      <c r="CX124" s="2">
        <v>0.125</v>
      </c>
      <c r="CY124" s="2">
        <v>21.46</v>
      </c>
      <c r="CZ124" s="2">
        <v>16.809999999999999</v>
      </c>
      <c r="DA124" s="2" t="s">
        <v>148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90037000</v>
      </c>
      <c r="DH124" s="2">
        <v>11.42</v>
      </c>
      <c r="DI124" s="2">
        <v>56.33</v>
      </c>
      <c r="DJ124" s="2">
        <v>90037000</v>
      </c>
      <c r="DK124" s="2" t="s">
        <v>137</v>
      </c>
      <c r="DL124" s="2">
        <v>42153000</v>
      </c>
      <c r="DM124" s="2">
        <v>803305024</v>
      </c>
      <c r="DN124" s="2">
        <v>-761152024</v>
      </c>
      <c r="DO124" s="2">
        <v>0.05</v>
      </c>
      <c r="DP124" s="2">
        <v>0.62</v>
      </c>
      <c r="DQ124" s="2">
        <v>0.36</v>
      </c>
      <c r="DR124" s="2" t="s">
        <v>137</v>
      </c>
      <c r="DS124" s="2">
        <v>21.46</v>
      </c>
      <c r="DT124" s="2">
        <v>16.809999999999999</v>
      </c>
      <c r="DU124" s="2" t="s">
        <v>137</v>
      </c>
      <c r="DV124" s="2">
        <v>7.37</v>
      </c>
      <c r="DW124" s="2">
        <v>8.76</v>
      </c>
      <c r="DX124" s="2">
        <v>0</v>
      </c>
      <c r="DY124" s="2">
        <v>0</v>
      </c>
      <c r="DZ124" s="2">
        <v>33</v>
      </c>
      <c r="EA124" s="2">
        <v>20</v>
      </c>
      <c r="EB124" s="2">
        <v>2</v>
      </c>
      <c r="EC124" s="2">
        <v>53</v>
      </c>
      <c r="ED124" s="2">
        <v>0</v>
      </c>
    </row>
    <row r="125" spans="1:134" hidden="1" x14ac:dyDescent="0.2">
      <c r="A125" t="s">
        <v>630</v>
      </c>
      <c r="B125" t="s">
        <v>631</v>
      </c>
      <c r="C125" t="s">
        <v>279</v>
      </c>
      <c r="D125" t="s">
        <v>632</v>
      </c>
      <c r="E125">
        <v>392648352</v>
      </c>
      <c r="F125">
        <v>5.73</v>
      </c>
      <c r="G125">
        <v>5.73</v>
      </c>
      <c r="H125">
        <v>5.79</v>
      </c>
      <c r="I125">
        <v>5.83</v>
      </c>
      <c r="J125">
        <v>5.8</v>
      </c>
      <c r="K125">
        <v>5.74</v>
      </c>
      <c r="L125">
        <v>5.83</v>
      </c>
      <c r="M125">
        <v>5.79</v>
      </c>
      <c r="N125">
        <v>5.7</v>
      </c>
      <c r="O125">
        <v>5.65</v>
      </c>
      <c r="P125">
        <v>0.21</v>
      </c>
      <c r="Q125">
        <v>5.19</v>
      </c>
      <c r="R125">
        <v>6.34</v>
      </c>
      <c r="S125">
        <v>5.65</v>
      </c>
      <c r="T125">
        <v>0</v>
      </c>
      <c r="U125">
        <v>5</v>
      </c>
      <c r="V125">
        <v>5.3</v>
      </c>
      <c r="W125">
        <v>5.0199999999999996</v>
      </c>
      <c r="X125">
        <v>4.66</v>
      </c>
      <c r="Y125">
        <v>5.72</v>
      </c>
      <c r="Z125">
        <v>5.83</v>
      </c>
      <c r="AA125">
        <v>5.91</v>
      </c>
      <c r="AB125">
        <v>382900</v>
      </c>
      <c r="AC125">
        <v>400800</v>
      </c>
      <c r="AD125">
        <v>380100</v>
      </c>
      <c r="AE125">
        <v>362000</v>
      </c>
      <c r="AF125">
        <v>458800</v>
      </c>
      <c r="AG125" s="2">
        <f>AVERAGE(AB125:AF125)</f>
        <v>396920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3.47</v>
      </c>
      <c r="AT125">
        <v>6.43</v>
      </c>
      <c r="AU125">
        <v>73.599999999999994</v>
      </c>
      <c r="AV125">
        <v>26.4</v>
      </c>
      <c r="AW125">
        <v>0</v>
      </c>
      <c r="AX125">
        <v>0</v>
      </c>
      <c r="AY125">
        <v>61.4</v>
      </c>
      <c r="AZ125">
        <v>63.7</v>
      </c>
      <c r="BA125">
        <v>60.2</v>
      </c>
      <c r="BB125">
        <v>61.5</v>
      </c>
      <c r="BC125">
        <v>56.1</v>
      </c>
      <c r="BD125">
        <v>0</v>
      </c>
      <c r="BE125">
        <v>30.2</v>
      </c>
      <c r="BF125">
        <v>38.5</v>
      </c>
      <c r="BG125">
        <v>0</v>
      </c>
      <c r="BH125">
        <v>0</v>
      </c>
      <c r="BI125">
        <v>32.799999999999997</v>
      </c>
      <c r="BJ125">
        <v>1</v>
      </c>
      <c r="BK125">
        <v>0</v>
      </c>
      <c r="BL125">
        <v>0</v>
      </c>
      <c r="BM125">
        <v>0</v>
      </c>
      <c r="BN125">
        <v>0</v>
      </c>
      <c r="BO125">
        <v>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1.3333299999999999</v>
      </c>
      <c r="BV125">
        <v>7.93</v>
      </c>
      <c r="BW125">
        <v>8.5</v>
      </c>
      <c r="BX125">
        <v>7</v>
      </c>
      <c r="BY125">
        <v>2</v>
      </c>
      <c r="BZ125">
        <v>4</v>
      </c>
      <c r="CA125">
        <v>0</v>
      </c>
      <c r="CB125">
        <v>0</v>
      </c>
      <c r="CC125">
        <v>0</v>
      </c>
      <c r="CD125">
        <v>6</v>
      </c>
      <c r="CE125">
        <v>6</v>
      </c>
      <c r="CF125">
        <v>0</v>
      </c>
      <c r="CG125">
        <v>0</v>
      </c>
      <c r="CH125" t="s">
        <v>268</v>
      </c>
      <c r="CI125">
        <v>40.4</v>
      </c>
      <c r="CJ125" t="s">
        <v>237</v>
      </c>
      <c r="CK125">
        <v>0</v>
      </c>
      <c r="CL125">
        <v>7.44</v>
      </c>
      <c r="CM125" t="s">
        <v>633</v>
      </c>
      <c r="CN125">
        <v>2.5999998999999999E-2</v>
      </c>
      <c r="CO125">
        <v>3.32</v>
      </c>
      <c r="CP125">
        <v>0</v>
      </c>
      <c r="CQ125" t="s">
        <v>137</v>
      </c>
      <c r="CR125">
        <v>0.03</v>
      </c>
      <c r="CS125">
        <v>7.4999999999999997E-2</v>
      </c>
      <c r="CT125">
        <v>-4.4999999999999998E-2</v>
      </c>
      <c r="CU125">
        <v>0.03</v>
      </c>
      <c r="CV125">
        <v>1</v>
      </c>
      <c r="CW125">
        <v>0</v>
      </c>
      <c r="CX125">
        <v>4.2</v>
      </c>
      <c r="CY125">
        <v>8.19</v>
      </c>
      <c r="CZ125">
        <v>17.3</v>
      </c>
      <c r="DA125" t="s">
        <v>154</v>
      </c>
      <c r="DB125">
        <v>0</v>
      </c>
      <c r="DC125">
        <v>0</v>
      </c>
      <c r="DD125">
        <v>2.5</v>
      </c>
      <c r="DE125">
        <v>0</v>
      </c>
      <c r="DF125">
        <v>0</v>
      </c>
      <c r="DG125">
        <v>-63069000</v>
      </c>
      <c r="DH125">
        <v>-16.059999999999999</v>
      </c>
      <c r="DI125">
        <v>-189.01</v>
      </c>
      <c r="DJ125">
        <v>10737000</v>
      </c>
      <c r="DK125">
        <v>-73806000</v>
      </c>
      <c r="DL125">
        <v>31127354</v>
      </c>
      <c r="DM125" t="s">
        <v>137</v>
      </c>
      <c r="DN125" t="s">
        <v>137</v>
      </c>
      <c r="DO125" t="s">
        <v>137</v>
      </c>
      <c r="DP125">
        <v>7.5</v>
      </c>
      <c r="DQ125">
        <v>7.42</v>
      </c>
      <c r="DR125" t="s">
        <v>137</v>
      </c>
      <c r="DS125">
        <v>8.19</v>
      </c>
      <c r="DT125">
        <v>17.3</v>
      </c>
      <c r="DU125" t="s">
        <v>137</v>
      </c>
      <c r="DV125">
        <v>6.59</v>
      </c>
      <c r="DW125" t="s">
        <v>137</v>
      </c>
      <c r="DX125">
        <v>3.09</v>
      </c>
      <c r="DY125">
        <v>0</v>
      </c>
      <c r="DZ125">
        <v>18</v>
      </c>
      <c r="EA125">
        <v>20</v>
      </c>
      <c r="EB125">
        <v>2</v>
      </c>
      <c r="EC125">
        <v>38</v>
      </c>
      <c r="ED125">
        <v>0</v>
      </c>
    </row>
    <row r="126" spans="1:134" hidden="1" x14ac:dyDescent="0.2">
      <c r="A126" s="2" t="s">
        <v>277</v>
      </c>
      <c r="B126" s="2" t="s">
        <v>278</v>
      </c>
      <c r="C126" s="2" t="s">
        <v>279</v>
      </c>
      <c r="D126" s="2" t="s">
        <v>280</v>
      </c>
      <c r="E126" s="2">
        <v>1356858880</v>
      </c>
      <c r="F126" s="2">
        <v>20.99</v>
      </c>
      <c r="G126" s="2">
        <v>21.03</v>
      </c>
      <c r="H126" s="2">
        <v>21.4</v>
      </c>
      <c r="I126" s="2">
        <v>21.15</v>
      </c>
      <c r="J126" s="2">
        <v>20.55</v>
      </c>
      <c r="K126" s="2">
        <v>20.93</v>
      </c>
      <c r="L126" s="2">
        <v>21.29</v>
      </c>
      <c r="M126" s="2">
        <v>21.43</v>
      </c>
      <c r="N126" s="2">
        <v>20.96</v>
      </c>
      <c r="O126" s="2">
        <v>21.1</v>
      </c>
      <c r="P126" s="2">
        <v>0.85</v>
      </c>
      <c r="Q126" s="2">
        <v>20.12</v>
      </c>
      <c r="R126" s="2">
        <v>22.57</v>
      </c>
      <c r="S126" s="2">
        <v>21.12</v>
      </c>
      <c r="T126" s="2">
        <v>0.1</v>
      </c>
      <c r="U126" s="2">
        <v>18.64</v>
      </c>
      <c r="V126" s="2">
        <v>20.55</v>
      </c>
      <c r="W126" s="2">
        <v>20.34</v>
      </c>
      <c r="X126" s="2">
        <v>15.68</v>
      </c>
      <c r="Y126" s="2">
        <v>21.55</v>
      </c>
      <c r="Z126" s="2">
        <v>21.87</v>
      </c>
      <c r="AA126" s="2">
        <v>22.24</v>
      </c>
      <c r="AB126" s="2">
        <v>165700</v>
      </c>
      <c r="AC126" s="2">
        <v>307900</v>
      </c>
      <c r="AD126" s="2">
        <v>207500</v>
      </c>
      <c r="AE126" s="2">
        <v>185900</v>
      </c>
      <c r="AF126" s="2">
        <v>514000</v>
      </c>
      <c r="AG126" s="2">
        <f>AVERAGE(AB126:AF126)</f>
        <v>276200</v>
      </c>
      <c r="AH126" s="2">
        <v>1</v>
      </c>
      <c r="AI126" s="2">
        <v>0</v>
      </c>
      <c r="AJ126" s="2">
        <v>1</v>
      </c>
      <c r="AK126" s="2">
        <v>1</v>
      </c>
      <c r="AL126" s="2">
        <v>1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1</v>
      </c>
      <c r="AS126" s="2">
        <v>12.59</v>
      </c>
      <c r="AT126" s="2">
        <v>24.25</v>
      </c>
      <c r="AU126" s="2">
        <v>73</v>
      </c>
      <c r="AV126" s="2">
        <v>27</v>
      </c>
      <c r="AW126" s="2">
        <v>0</v>
      </c>
      <c r="AX126" s="2">
        <v>0</v>
      </c>
      <c r="AY126" s="2">
        <v>55.1</v>
      </c>
      <c r="AZ126" s="2">
        <v>55.9</v>
      </c>
      <c r="BA126" s="2">
        <v>54</v>
      </c>
      <c r="BB126" s="2">
        <v>57.6</v>
      </c>
      <c r="BC126" s="2">
        <v>54.6</v>
      </c>
      <c r="BD126" s="2">
        <v>0</v>
      </c>
      <c r="BE126" s="2">
        <v>7.4</v>
      </c>
      <c r="BF126" s="2">
        <v>7.6</v>
      </c>
      <c r="BG126" s="2">
        <v>0</v>
      </c>
      <c r="BH126" s="2">
        <v>0</v>
      </c>
      <c r="BI126" s="2">
        <v>30.6</v>
      </c>
      <c r="BJ126" s="2">
        <v>1</v>
      </c>
      <c r="BK126" s="2">
        <v>0</v>
      </c>
      <c r="BL126" s="2">
        <v>0</v>
      </c>
      <c r="BM126" s="2">
        <v>1</v>
      </c>
      <c r="BN126" s="2">
        <v>0</v>
      </c>
      <c r="BO126" s="2">
        <v>1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1.3333299999999999</v>
      </c>
      <c r="BV126" s="2">
        <v>27.33333</v>
      </c>
      <c r="BW126" s="2">
        <v>33</v>
      </c>
      <c r="BX126" s="2">
        <v>24</v>
      </c>
      <c r="BY126" s="2">
        <v>2</v>
      </c>
      <c r="BZ126" s="2">
        <v>4</v>
      </c>
      <c r="CA126" s="2">
        <v>0</v>
      </c>
      <c r="CB126" s="2">
        <v>0</v>
      </c>
      <c r="CC126" s="2">
        <v>0</v>
      </c>
      <c r="CD126" s="2">
        <v>6</v>
      </c>
      <c r="CE126" s="2">
        <v>6</v>
      </c>
      <c r="CF126" s="2">
        <v>0</v>
      </c>
      <c r="CG126" s="2">
        <v>0</v>
      </c>
      <c r="CH126" s="2" t="s">
        <v>268</v>
      </c>
      <c r="CI126" s="2">
        <v>29.5</v>
      </c>
      <c r="CJ126" s="2" t="s">
        <v>237</v>
      </c>
      <c r="CK126" s="2">
        <v>0</v>
      </c>
      <c r="CL126" s="2">
        <v>22.4</v>
      </c>
      <c r="CM126" s="2" t="s">
        <v>281</v>
      </c>
      <c r="CN126" s="2" t="s">
        <v>137</v>
      </c>
      <c r="CO126" s="2">
        <v>9.06</v>
      </c>
      <c r="CP126" s="2">
        <v>0</v>
      </c>
      <c r="CQ126" s="2" t="s">
        <v>137</v>
      </c>
      <c r="CR126" s="2">
        <v>9.0870000000000006E-2</v>
      </c>
      <c r="CS126" s="2">
        <v>0.11957</v>
      </c>
      <c r="CT126" s="2">
        <v>-2.8699999999999989E-2</v>
      </c>
      <c r="CU126" s="2">
        <v>9.0870000000000006E-2</v>
      </c>
      <c r="CV126" s="2">
        <v>3</v>
      </c>
      <c r="CW126" s="2" t="s">
        <v>137</v>
      </c>
      <c r="CX126" s="2">
        <v>0.96629995000000002</v>
      </c>
      <c r="CY126" s="2" t="s">
        <v>137</v>
      </c>
      <c r="CZ126" s="2">
        <v>50.31</v>
      </c>
      <c r="DA126" s="2" t="s">
        <v>282</v>
      </c>
      <c r="DB126" s="2">
        <v>0</v>
      </c>
      <c r="DC126" s="2">
        <v>0</v>
      </c>
      <c r="DD126" s="2">
        <v>3.5</v>
      </c>
      <c r="DE126" s="2">
        <v>0</v>
      </c>
      <c r="DF126" s="2">
        <v>0</v>
      </c>
      <c r="DG126" s="2">
        <v>-37886000</v>
      </c>
      <c r="DH126" s="2">
        <v>-2.79</v>
      </c>
      <c r="DI126" s="2">
        <v>-53.35</v>
      </c>
      <c r="DJ126" s="2">
        <v>30811000</v>
      </c>
      <c r="DK126" s="2">
        <v>-68697000</v>
      </c>
      <c r="DL126" s="2">
        <v>90273000</v>
      </c>
      <c r="DM126" s="2" t="s">
        <v>137</v>
      </c>
      <c r="DN126" s="2" t="s">
        <v>137</v>
      </c>
      <c r="DO126" s="2" t="s">
        <v>137</v>
      </c>
      <c r="DP126" s="2">
        <v>5.48</v>
      </c>
      <c r="DQ126" s="2">
        <v>5.48</v>
      </c>
      <c r="DR126" s="2" t="s">
        <v>137</v>
      </c>
      <c r="DS126" s="2" t="s">
        <v>137</v>
      </c>
      <c r="DT126" s="2">
        <v>50.31</v>
      </c>
      <c r="DU126" s="2" t="s">
        <v>137</v>
      </c>
      <c r="DV126" s="2">
        <v>32.56</v>
      </c>
      <c r="DW126" s="2" t="s">
        <v>137</v>
      </c>
      <c r="DX126" s="2">
        <v>1.54</v>
      </c>
      <c r="DY126" s="2">
        <v>0</v>
      </c>
      <c r="DZ126" s="2">
        <v>18</v>
      </c>
      <c r="EA126" s="2">
        <v>0</v>
      </c>
      <c r="EB126" s="2">
        <v>0</v>
      </c>
      <c r="EC126" s="2">
        <v>18</v>
      </c>
      <c r="ED126" s="2">
        <v>0</v>
      </c>
    </row>
    <row r="127" spans="1:134" hidden="1" x14ac:dyDescent="0.2">
      <c r="A127" s="2" t="s">
        <v>622</v>
      </c>
      <c r="B127" s="2" t="s">
        <v>623</v>
      </c>
      <c r="C127" s="2" t="s">
        <v>241</v>
      </c>
      <c r="D127" s="2" t="s">
        <v>624</v>
      </c>
      <c r="E127" s="2">
        <v>1490999808</v>
      </c>
      <c r="F127" s="2">
        <v>6.4</v>
      </c>
      <c r="G127" s="2">
        <v>6.47</v>
      </c>
      <c r="H127" s="2">
        <v>6.45</v>
      </c>
      <c r="I127" s="2">
        <v>6.41</v>
      </c>
      <c r="J127" s="2">
        <v>6.34</v>
      </c>
      <c r="K127" s="2">
        <v>6.4</v>
      </c>
      <c r="L127" s="2">
        <v>6.49</v>
      </c>
      <c r="M127" s="2">
        <v>6.48</v>
      </c>
      <c r="N127" s="2">
        <v>6.4</v>
      </c>
      <c r="O127" s="2">
        <v>6.47</v>
      </c>
      <c r="P127" s="2">
        <v>0.65</v>
      </c>
      <c r="Q127" s="2">
        <v>5.99</v>
      </c>
      <c r="R127" s="2">
        <v>7.18</v>
      </c>
      <c r="S127" s="2">
        <v>6.47</v>
      </c>
      <c r="T127" s="2">
        <v>0.1</v>
      </c>
      <c r="U127" s="2">
        <v>10.57</v>
      </c>
      <c r="V127" s="2">
        <v>6.32</v>
      </c>
      <c r="W127" s="2">
        <v>6</v>
      </c>
      <c r="X127" s="2" t="s">
        <v>137</v>
      </c>
      <c r="Y127" s="2">
        <v>6.57</v>
      </c>
      <c r="Z127" s="2">
        <v>11.7</v>
      </c>
      <c r="AA127" s="2">
        <v>11.97</v>
      </c>
      <c r="AB127" s="2">
        <v>6266600</v>
      </c>
      <c r="AC127" s="2">
        <v>4955800</v>
      </c>
      <c r="AD127" s="2">
        <v>4324100</v>
      </c>
      <c r="AE127" s="2">
        <v>4925800</v>
      </c>
      <c r="AF127" s="2">
        <v>10475500</v>
      </c>
      <c r="AG127" s="2">
        <f>AVERAGE(AB127:AF127)</f>
        <v>6189560</v>
      </c>
      <c r="AH127" s="2">
        <v>1</v>
      </c>
      <c r="AI127" s="2">
        <v>0</v>
      </c>
      <c r="AJ127" s="2">
        <v>1</v>
      </c>
      <c r="AK127" s="2">
        <v>0</v>
      </c>
      <c r="AL127" s="2">
        <v>1</v>
      </c>
      <c r="AM127" s="2">
        <v>0</v>
      </c>
      <c r="AN127" s="2">
        <v>0</v>
      </c>
      <c r="AO127" s="2">
        <v>1</v>
      </c>
      <c r="AP127" s="2">
        <v>0</v>
      </c>
      <c r="AQ127" s="2">
        <v>0</v>
      </c>
      <c r="AR127" s="2">
        <v>0</v>
      </c>
      <c r="AS127" s="2">
        <v>6.06</v>
      </c>
      <c r="AT127" s="2">
        <v>20.55</v>
      </c>
      <c r="AU127" s="2">
        <v>2.8</v>
      </c>
      <c r="AV127" s="2">
        <v>97.2</v>
      </c>
      <c r="AW127" s="2">
        <v>1</v>
      </c>
      <c r="AX127" s="2">
        <v>0</v>
      </c>
      <c r="AY127" s="2">
        <v>25.9</v>
      </c>
      <c r="AZ127" s="2">
        <v>25.6</v>
      </c>
      <c r="BA127" s="2">
        <v>25.6</v>
      </c>
      <c r="BB127" s="2">
        <v>26.7</v>
      </c>
      <c r="BC127" s="2">
        <v>26.6</v>
      </c>
      <c r="BD127" s="2">
        <v>0</v>
      </c>
      <c r="BE127" s="2">
        <v>18.2</v>
      </c>
      <c r="BF127" s="2">
        <v>17.2</v>
      </c>
      <c r="BG127" s="2">
        <v>0</v>
      </c>
      <c r="BH127" s="2">
        <v>0</v>
      </c>
      <c r="BI127" s="2">
        <v>44.1</v>
      </c>
      <c r="BJ127" s="2">
        <v>1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 t="s">
        <v>137</v>
      </c>
      <c r="BV127" s="2">
        <v>14.66667</v>
      </c>
      <c r="BW127" s="2">
        <v>17</v>
      </c>
      <c r="BX127" s="2">
        <v>12</v>
      </c>
      <c r="BY127" s="2">
        <v>0</v>
      </c>
      <c r="BZ127" s="2">
        <v>1</v>
      </c>
      <c r="CA127" s="2">
        <v>3</v>
      </c>
      <c r="CB127" s="2">
        <v>0</v>
      </c>
      <c r="CC127" s="2">
        <v>0</v>
      </c>
      <c r="CD127" s="2">
        <v>4</v>
      </c>
      <c r="CE127" s="2">
        <v>1</v>
      </c>
      <c r="CF127" s="2">
        <v>3</v>
      </c>
      <c r="CG127" s="2">
        <v>0</v>
      </c>
      <c r="CH127" s="2" t="s">
        <v>152</v>
      </c>
      <c r="CI127" s="2">
        <v>126.9</v>
      </c>
      <c r="CJ127" s="2" t="s">
        <v>139</v>
      </c>
      <c r="CK127" s="2">
        <v>0</v>
      </c>
      <c r="CL127" s="2">
        <v>14.67</v>
      </c>
      <c r="CM127" s="2" t="s">
        <v>625</v>
      </c>
      <c r="CN127" s="2">
        <v>0.12590000000000001</v>
      </c>
      <c r="CO127" s="2">
        <v>2.59</v>
      </c>
      <c r="CP127" s="2">
        <v>0</v>
      </c>
      <c r="CQ127" s="2" t="s">
        <v>137</v>
      </c>
      <c r="CR127" s="2">
        <v>0.15165999999999999</v>
      </c>
      <c r="CS127" s="2">
        <v>0.29498000000000002</v>
      </c>
      <c r="CT127" s="2">
        <v>-0.14332</v>
      </c>
      <c r="CU127" s="2">
        <v>0.15165999999999999</v>
      </c>
      <c r="CV127" s="2">
        <v>1</v>
      </c>
      <c r="CW127" s="2">
        <v>-0.75539999999999996</v>
      </c>
      <c r="CX127" s="2">
        <v>-0.37909999999999999</v>
      </c>
      <c r="CY127" s="2" t="s">
        <v>137</v>
      </c>
      <c r="CZ127" s="2">
        <v>9.2899999999999991</v>
      </c>
      <c r="DA127" s="2" t="s">
        <v>165</v>
      </c>
      <c r="DB127" s="2">
        <v>0</v>
      </c>
      <c r="DC127" s="2">
        <v>0</v>
      </c>
      <c r="DD127" s="2">
        <v>0.5</v>
      </c>
      <c r="DE127" s="2">
        <v>0</v>
      </c>
      <c r="DF127" s="2">
        <v>0</v>
      </c>
      <c r="DG127" s="2">
        <v>252600000</v>
      </c>
      <c r="DH127" s="2">
        <v>16.940000000000001</v>
      </c>
      <c r="DI127" s="2">
        <v>12.69</v>
      </c>
      <c r="DJ127" s="2">
        <v>322900000</v>
      </c>
      <c r="DK127" s="2">
        <v>-70300000</v>
      </c>
      <c r="DL127" s="2">
        <v>113600000</v>
      </c>
      <c r="DM127" s="2">
        <v>39400000</v>
      </c>
      <c r="DN127" s="2">
        <v>74200000</v>
      </c>
      <c r="DO127" s="2">
        <v>2.88</v>
      </c>
      <c r="DP127" s="2">
        <v>2.57</v>
      </c>
      <c r="DQ127" s="2">
        <v>0.53</v>
      </c>
      <c r="DR127" s="2">
        <v>2.94</v>
      </c>
      <c r="DS127" s="2" t="s">
        <v>137</v>
      </c>
      <c r="DT127" s="2">
        <v>9.2899999999999991</v>
      </c>
      <c r="DU127" s="2">
        <v>2.94</v>
      </c>
      <c r="DV127" s="2">
        <v>4.5999999999999996</v>
      </c>
      <c r="DW127" s="2">
        <v>5.9</v>
      </c>
      <c r="DX127" s="2">
        <v>0.23</v>
      </c>
      <c r="DY127" s="2">
        <v>0</v>
      </c>
      <c r="DZ127" s="2">
        <v>17</v>
      </c>
      <c r="EA127" s="2">
        <v>20</v>
      </c>
      <c r="EB127" s="2">
        <v>2</v>
      </c>
      <c r="EC127" s="2">
        <v>37</v>
      </c>
      <c r="ED127" s="2">
        <v>0</v>
      </c>
    </row>
    <row r="128" spans="1:134" hidden="1" x14ac:dyDescent="0.2">
      <c r="A128" t="s">
        <v>454</v>
      </c>
      <c r="B128" t="s">
        <v>455</v>
      </c>
      <c r="C128" t="s">
        <v>279</v>
      </c>
      <c r="D128" t="s">
        <v>436</v>
      </c>
      <c r="E128">
        <v>315285600</v>
      </c>
      <c r="F128">
        <v>2.21</v>
      </c>
      <c r="G128">
        <v>2.5</v>
      </c>
      <c r="H128">
        <v>2.5</v>
      </c>
      <c r="I128">
        <v>2.46</v>
      </c>
      <c r="J128">
        <v>2.46</v>
      </c>
      <c r="K128">
        <v>2.5499999999999998</v>
      </c>
      <c r="L128">
        <v>2.6</v>
      </c>
      <c r="M128">
        <v>2.64</v>
      </c>
      <c r="N128">
        <v>2.65</v>
      </c>
      <c r="O128">
        <v>2.21</v>
      </c>
      <c r="P128">
        <v>0.18</v>
      </c>
      <c r="Q128">
        <v>1.71</v>
      </c>
      <c r="R128">
        <v>2.97</v>
      </c>
      <c r="S128">
        <v>2.21</v>
      </c>
      <c r="T128">
        <v>-0.2</v>
      </c>
      <c r="U128">
        <v>1.85</v>
      </c>
      <c r="V128">
        <v>1.8</v>
      </c>
      <c r="W128">
        <v>1.74</v>
      </c>
      <c r="X128">
        <v>1.72</v>
      </c>
      <c r="Y128" t="s">
        <v>137</v>
      </c>
      <c r="Z128" t="s">
        <v>137</v>
      </c>
      <c r="AA128" t="s">
        <v>137</v>
      </c>
      <c r="AB128">
        <v>703900</v>
      </c>
      <c r="AC128">
        <v>441100</v>
      </c>
      <c r="AD128">
        <v>298700</v>
      </c>
      <c r="AE128">
        <v>453200</v>
      </c>
      <c r="AF128">
        <v>751900</v>
      </c>
      <c r="AG128" s="2">
        <f>AVERAGE(AB128:AF128)</f>
        <v>529760</v>
      </c>
      <c r="AH128">
        <v>1</v>
      </c>
      <c r="AI128">
        <v>0</v>
      </c>
      <c r="AJ128">
        <v>1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1.1200000000000001</v>
      </c>
      <c r="AT128">
        <v>2.64</v>
      </c>
      <c r="AU128">
        <v>72</v>
      </c>
      <c r="AV128">
        <v>28</v>
      </c>
      <c r="AW128">
        <v>1</v>
      </c>
      <c r="AX128">
        <v>0</v>
      </c>
      <c r="AY128">
        <v>78.599999999999994</v>
      </c>
      <c r="AZ128">
        <v>75.7</v>
      </c>
      <c r="BA128">
        <v>77.7</v>
      </c>
      <c r="BB128">
        <v>79.5</v>
      </c>
      <c r="BC128">
        <v>56</v>
      </c>
      <c r="BD128">
        <v>0</v>
      </c>
      <c r="BE128">
        <v>77.400000000000006</v>
      </c>
      <c r="BF128">
        <v>90</v>
      </c>
      <c r="BG128">
        <v>0</v>
      </c>
      <c r="BH128">
        <v>0</v>
      </c>
      <c r="BI128">
        <v>32</v>
      </c>
      <c r="BJ128">
        <v>1</v>
      </c>
      <c r="BK128">
        <v>0</v>
      </c>
      <c r="BL128">
        <v>0</v>
      </c>
      <c r="BM128">
        <v>1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3</v>
      </c>
      <c r="BV128">
        <v>1.7</v>
      </c>
      <c r="BW128">
        <v>2</v>
      </c>
      <c r="BX128">
        <v>1.5</v>
      </c>
      <c r="BY128">
        <v>0</v>
      </c>
      <c r="BZ128">
        <v>0</v>
      </c>
      <c r="CA128">
        <v>3</v>
      </c>
      <c r="CB128">
        <v>0</v>
      </c>
      <c r="CC128">
        <v>0</v>
      </c>
      <c r="CD128">
        <v>3</v>
      </c>
      <c r="CE128">
        <v>0</v>
      </c>
      <c r="CF128">
        <v>3</v>
      </c>
      <c r="CG128">
        <v>0</v>
      </c>
      <c r="CH128" t="s">
        <v>146</v>
      </c>
      <c r="CI128">
        <v>-23.3</v>
      </c>
      <c r="CJ128" t="s">
        <v>188</v>
      </c>
      <c r="CK128">
        <v>1</v>
      </c>
      <c r="CL128">
        <v>2.0299999999999998</v>
      </c>
      <c r="CM128" t="s">
        <v>456</v>
      </c>
      <c r="CN128">
        <v>3.5200000000000002E-2</v>
      </c>
      <c r="CO128">
        <v>12.14</v>
      </c>
      <c r="CP128">
        <v>1</v>
      </c>
      <c r="CQ128" t="s">
        <v>137</v>
      </c>
      <c r="CR128">
        <v>5.3379999999999997E-2</v>
      </c>
      <c r="CS128">
        <v>5.5590000000000001E-2</v>
      </c>
      <c r="CT128">
        <v>-2.2100000000000041E-3</v>
      </c>
      <c r="CU128">
        <v>5.3379999999999997E-2</v>
      </c>
      <c r="CV128">
        <v>2</v>
      </c>
      <c r="CW128">
        <v>0.45529997</v>
      </c>
      <c r="CX128">
        <v>4.0039996999999996</v>
      </c>
      <c r="CY128">
        <v>44.3</v>
      </c>
      <c r="CZ128">
        <v>7.22</v>
      </c>
      <c r="DA128" t="s">
        <v>244</v>
      </c>
      <c r="DB128">
        <v>0</v>
      </c>
      <c r="DC128">
        <v>0</v>
      </c>
      <c r="DD128">
        <v>1.5</v>
      </c>
      <c r="DE128">
        <v>0</v>
      </c>
      <c r="DF128">
        <v>0</v>
      </c>
      <c r="DG128">
        <v>-86208000</v>
      </c>
      <c r="DH128">
        <v>-27.34</v>
      </c>
      <c r="DI128">
        <v>-45.59</v>
      </c>
      <c r="DJ128">
        <v>30334000</v>
      </c>
      <c r="DK128">
        <v>-116542000</v>
      </c>
      <c r="DL128">
        <v>15757000</v>
      </c>
      <c r="DM128">
        <v>157135008</v>
      </c>
      <c r="DN128">
        <v>-141378008</v>
      </c>
      <c r="DO128">
        <v>0.1</v>
      </c>
      <c r="DP128">
        <v>0.62</v>
      </c>
      <c r="DQ128">
        <v>0.51</v>
      </c>
      <c r="DR128" t="s">
        <v>137</v>
      </c>
      <c r="DS128">
        <v>44.3</v>
      </c>
      <c r="DT128">
        <v>7.22</v>
      </c>
      <c r="DU128" t="s">
        <v>137</v>
      </c>
      <c r="DV128">
        <v>12.01</v>
      </c>
      <c r="DW128" t="s">
        <v>137</v>
      </c>
      <c r="DX128">
        <v>16.100000000000001</v>
      </c>
      <c r="DY128">
        <v>0</v>
      </c>
      <c r="DZ128">
        <v>16</v>
      </c>
      <c r="EA128">
        <v>20</v>
      </c>
      <c r="EB128">
        <v>2</v>
      </c>
      <c r="EC128">
        <v>36</v>
      </c>
      <c r="ED128">
        <v>0</v>
      </c>
    </row>
    <row r="129" spans="1:134" hidden="1" x14ac:dyDescent="0.2">
      <c r="A129" s="2" t="s">
        <v>604</v>
      </c>
      <c r="B129" s="2" t="s">
        <v>605</v>
      </c>
      <c r="C129" s="2" t="s">
        <v>135</v>
      </c>
      <c r="D129" s="2" t="s">
        <v>606</v>
      </c>
      <c r="E129" s="2">
        <v>362323744</v>
      </c>
      <c r="F129" s="2">
        <v>28.61</v>
      </c>
      <c r="G129" s="2">
        <v>28.22</v>
      </c>
      <c r="H129" s="2">
        <v>28.16</v>
      </c>
      <c r="I129" s="2">
        <v>26.95</v>
      </c>
      <c r="J129" s="2">
        <v>27.12</v>
      </c>
      <c r="K129" s="2">
        <v>26.94</v>
      </c>
      <c r="L129" s="2">
        <v>27.24</v>
      </c>
      <c r="M129" s="2">
        <v>26.69</v>
      </c>
      <c r="N129" s="2">
        <v>26.85</v>
      </c>
      <c r="O129" s="2">
        <v>28.13</v>
      </c>
      <c r="P129" s="2">
        <v>1.63</v>
      </c>
      <c r="Q129" s="2">
        <v>25.79</v>
      </c>
      <c r="R129" s="2">
        <v>31.64</v>
      </c>
      <c r="S129" s="2">
        <v>28.09</v>
      </c>
      <c r="T129" s="2">
        <v>-0.1</v>
      </c>
      <c r="U129" s="2">
        <v>27.51</v>
      </c>
      <c r="V129" s="2">
        <v>26.6</v>
      </c>
      <c r="W129" s="2">
        <v>25.8</v>
      </c>
      <c r="X129" s="2">
        <v>25.24</v>
      </c>
      <c r="Y129" s="2">
        <v>28.84</v>
      </c>
      <c r="Z129" s="2">
        <v>29.59</v>
      </c>
      <c r="AA129" s="2">
        <v>30.91</v>
      </c>
      <c r="AB129" s="2">
        <v>193300</v>
      </c>
      <c r="AC129" s="2">
        <v>115800</v>
      </c>
      <c r="AD129" s="2">
        <v>195900</v>
      </c>
      <c r="AE129" s="2">
        <v>199200</v>
      </c>
      <c r="AF129" s="2">
        <v>214000</v>
      </c>
      <c r="AG129" s="2">
        <f>AVERAGE(AB129:AF129)</f>
        <v>183640</v>
      </c>
      <c r="AH129" s="2">
        <v>0</v>
      </c>
      <c r="AI129" s="2">
        <v>0</v>
      </c>
      <c r="AJ129" s="2">
        <v>0</v>
      </c>
      <c r="AK129" s="2">
        <v>0</v>
      </c>
      <c r="AL129" s="2">
        <v>1</v>
      </c>
      <c r="AM129" s="2">
        <v>0</v>
      </c>
      <c r="AN129" s="2">
        <v>0</v>
      </c>
      <c r="AO129" s="2">
        <v>0</v>
      </c>
      <c r="AP129" s="2">
        <v>0</v>
      </c>
      <c r="AQ129" s="2">
        <v>1</v>
      </c>
      <c r="AR129" s="2">
        <v>1</v>
      </c>
      <c r="AS129" s="2">
        <v>17.04</v>
      </c>
      <c r="AT129" s="2">
        <v>31.15</v>
      </c>
      <c r="AU129" s="2">
        <v>78.599999999999994</v>
      </c>
      <c r="AV129" s="2">
        <v>21.4</v>
      </c>
      <c r="AW129" s="2">
        <v>1</v>
      </c>
      <c r="AX129" s="2">
        <v>0</v>
      </c>
      <c r="AY129" s="2">
        <v>49.5</v>
      </c>
      <c r="AZ129" s="2">
        <v>43.5</v>
      </c>
      <c r="BA129" s="2">
        <v>43.5</v>
      </c>
      <c r="BB129" s="2">
        <v>42.3</v>
      </c>
      <c r="BC129" s="2">
        <v>50.5</v>
      </c>
      <c r="BD129" s="2">
        <v>1</v>
      </c>
      <c r="BE129" s="2">
        <v>9.4</v>
      </c>
      <c r="BF129" s="2">
        <v>3.1</v>
      </c>
      <c r="BG129" s="2">
        <v>0</v>
      </c>
      <c r="BH129" s="2">
        <v>0</v>
      </c>
      <c r="BI129" s="2">
        <v>23.4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 t="s">
        <v>137</v>
      </c>
      <c r="BV129" s="2">
        <v>31</v>
      </c>
      <c r="BW129" s="2">
        <v>34</v>
      </c>
      <c r="BX129" s="2">
        <v>26</v>
      </c>
      <c r="BY129" s="2">
        <v>3</v>
      </c>
      <c r="BZ129" s="2">
        <v>3</v>
      </c>
      <c r="CA129" s="2">
        <v>2</v>
      </c>
      <c r="CB129" s="2">
        <v>0</v>
      </c>
      <c r="CC129" s="2">
        <v>0</v>
      </c>
      <c r="CD129" s="2">
        <v>8</v>
      </c>
      <c r="CE129" s="2">
        <v>6</v>
      </c>
      <c r="CF129" s="2">
        <v>2</v>
      </c>
      <c r="CG129" s="2">
        <v>0</v>
      </c>
      <c r="CH129" s="2" t="s">
        <v>152</v>
      </c>
      <c r="CI129" s="2">
        <v>10.199999999999999</v>
      </c>
      <c r="CJ129" s="2" t="s">
        <v>139</v>
      </c>
      <c r="CK129" s="2">
        <v>0</v>
      </c>
      <c r="CL129" s="2">
        <v>31.43</v>
      </c>
      <c r="CM129" s="2" t="s">
        <v>607</v>
      </c>
      <c r="CN129" s="2">
        <v>7.5899999999999995E-2</v>
      </c>
      <c r="CO129" s="2">
        <v>3.78</v>
      </c>
      <c r="CP129" s="2">
        <v>0</v>
      </c>
      <c r="CQ129" s="2" t="s">
        <v>137</v>
      </c>
      <c r="CR129" s="2">
        <v>0.24651999999999999</v>
      </c>
      <c r="CS129" s="2">
        <v>0.24054</v>
      </c>
      <c r="CT129" s="2">
        <v>5.9799999999999853E-3</v>
      </c>
      <c r="CU129" s="2">
        <v>0.24651999999999999</v>
      </c>
      <c r="CV129" s="2">
        <v>7</v>
      </c>
      <c r="CW129" s="2">
        <v>7.1800000000000003E-2</v>
      </c>
      <c r="CX129" s="2">
        <v>0.2994</v>
      </c>
      <c r="CY129" s="2">
        <v>46.88</v>
      </c>
      <c r="CZ129" s="2">
        <v>24.31</v>
      </c>
      <c r="DA129" s="2" t="s">
        <v>154</v>
      </c>
      <c r="DB129" s="2">
        <v>1</v>
      </c>
      <c r="DC129" s="2">
        <v>1</v>
      </c>
      <c r="DD129" s="2">
        <v>1.5</v>
      </c>
      <c r="DE129" s="2">
        <v>0</v>
      </c>
      <c r="DF129" s="2">
        <v>0</v>
      </c>
      <c r="DG129" s="2">
        <v>-8767000</v>
      </c>
      <c r="DH129" s="2">
        <v>-2.42</v>
      </c>
      <c r="DI129" s="2">
        <v>-2.97</v>
      </c>
      <c r="DJ129" s="2">
        <v>53501000</v>
      </c>
      <c r="DK129" s="2">
        <v>-62268000</v>
      </c>
      <c r="DL129" s="2">
        <v>73745000</v>
      </c>
      <c r="DM129" s="2">
        <v>8465000</v>
      </c>
      <c r="DN129" s="2">
        <v>65280000</v>
      </c>
      <c r="DO129" s="2">
        <v>8.7100000000000009</v>
      </c>
      <c r="DP129" s="2">
        <v>2.56</v>
      </c>
      <c r="DQ129" s="2">
        <v>2.02</v>
      </c>
      <c r="DR129" s="2" t="s">
        <v>137</v>
      </c>
      <c r="DS129" s="2">
        <v>46.88</v>
      </c>
      <c r="DT129" s="2">
        <v>24.31</v>
      </c>
      <c r="DU129" s="2" t="s">
        <v>137</v>
      </c>
      <c r="DV129" s="2">
        <v>6.95</v>
      </c>
      <c r="DW129" s="2" t="s">
        <v>137</v>
      </c>
      <c r="DX129" s="2">
        <v>0.32</v>
      </c>
      <c r="DY129" s="2">
        <v>0</v>
      </c>
      <c r="DZ129" s="2">
        <v>42</v>
      </c>
      <c r="EA129" s="2">
        <v>10</v>
      </c>
      <c r="EB129" s="2">
        <v>1</v>
      </c>
      <c r="EC129" s="2">
        <v>52</v>
      </c>
      <c r="ED129" s="2">
        <v>0</v>
      </c>
    </row>
    <row r="130" spans="1:134" hidden="1" x14ac:dyDescent="0.2">
      <c r="A130" t="s">
        <v>608</v>
      </c>
      <c r="B130" t="s">
        <v>609</v>
      </c>
      <c r="C130" t="s">
        <v>186</v>
      </c>
      <c r="D130" t="s">
        <v>208</v>
      </c>
      <c r="E130">
        <v>350387872</v>
      </c>
      <c r="F130">
        <v>23.67</v>
      </c>
      <c r="G130">
        <v>24.41</v>
      </c>
      <c r="H130">
        <v>24.11</v>
      </c>
      <c r="I130">
        <v>24.67</v>
      </c>
      <c r="J130">
        <v>24.43</v>
      </c>
      <c r="K130">
        <v>24.34</v>
      </c>
      <c r="L130">
        <v>24.73</v>
      </c>
      <c r="M130">
        <v>24.54</v>
      </c>
      <c r="N130">
        <v>24.27</v>
      </c>
      <c r="O130">
        <v>24.1</v>
      </c>
      <c r="P130">
        <v>0.99</v>
      </c>
      <c r="Q130">
        <v>22.86</v>
      </c>
      <c r="R130">
        <v>25.96</v>
      </c>
      <c r="S130">
        <v>23.94</v>
      </c>
      <c r="T130">
        <v>-0.7</v>
      </c>
      <c r="U130">
        <v>23.34</v>
      </c>
      <c r="V130">
        <v>23.35</v>
      </c>
      <c r="W130">
        <v>22.05</v>
      </c>
      <c r="X130">
        <v>21.05</v>
      </c>
      <c r="Y130">
        <v>24.2</v>
      </c>
      <c r="Z130">
        <v>24.55</v>
      </c>
      <c r="AA130">
        <v>25</v>
      </c>
      <c r="AB130">
        <v>82500</v>
      </c>
      <c r="AC130">
        <v>60200</v>
      </c>
      <c r="AD130">
        <v>72200</v>
      </c>
      <c r="AE130">
        <v>51000</v>
      </c>
      <c r="AF130">
        <v>73100</v>
      </c>
      <c r="AG130" s="2">
        <f>AVERAGE(AB130:AF130)</f>
        <v>67800</v>
      </c>
      <c r="AH130">
        <v>1</v>
      </c>
      <c r="AI130">
        <v>1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13.31</v>
      </c>
      <c r="AT130">
        <v>25.16</v>
      </c>
      <c r="AU130">
        <v>91.1</v>
      </c>
      <c r="AV130">
        <v>8.9</v>
      </c>
      <c r="AW130">
        <v>0</v>
      </c>
      <c r="AX130">
        <v>0</v>
      </c>
      <c r="AY130">
        <v>57.9</v>
      </c>
      <c r="AZ130">
        <v>59.5</v>
      </c>
      <c r="BA130">
        <v>56.5</v>
      </c>
      <c r="BB130">
        <v>57.9</v>
      </c>
      <c r="BC130">
        <v>53.9</v>
      </c>
      <c r="BD130">
        <v>0</v>
      </c>
      <c r="BE130">
        <v>79.599999999999994</v>
      </c>
      <c r="BF130">
        <v>88.2</v>
      </c>
      <c r="BG130">
        <v>0</v>
      </c>
      <c r="BH130">
        <v>0</v>
      </c>
      <c r="BI130">
        <v>16.3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1</v>
      </c>
      <c r="BV130">
        <v>30</v>
      </c>
      <c r="BW130">
        <v>30</v>
      </c>
      <c r="BX130">
        <v>30</v>
      </c>
      <c r="BY130">
        <v>0</v>
      </c>
      <c r="BZ130">
        <v>1</v>
      </c>
      <c r="CA130">
        <v>0</v>
      </c>
      <c r="CB130">
        <v>0</v>
      </c>
      <c r="CC130">
        <v>0</v>
      </c>
      <c r="CD130">
        <v>1</v>
      </c>
      <c r="CE130">
        <v>1</v>
      </c>
      <c r="CF130">
        <v>0</v>
      </c>
      <c r="CG130">
        <v>0</v>
      </c>
      <c r="CH130" t="s">
        <v>268</v>
      </c>
      <c r="CI130">
        <v>24.5</v>
      </c>
      <c r="CJ130" t="s">
        <v>237</v>
      </c>
      <c r="CK130">
        <v>0</v>
      </c>
      <c r="CL130">
        <v>30</v>
      </c>
      <c r="CM130" t="s">
        <v>610</v>
      </c>
      <c r="CN130">
        <v>5.3200003000000003E-2</v>
      </c>
      <c r="CO130">
        <v>4.7</v>
      </c>
      <c r="CP130">
        <v>0</v>
      </c>
      <c r="CQ130" t="s">
        <v>137</v>
      </c>
      <c r="CR130">
        <v>0.01</v>
      </c>
      <c r="CS130">
        <v>0.11</v>
      </c>
      <c r="CT130">
        <v>-0.1</v>
      </c>
      <c r="CU130">
        <v>0.01</v>
      </c>
      <c r="CV130">
        <v>1</v>
      </c>
      <c r="CW130">
        <v>1.25</v>
      </c>
      <c r="CX130">
        <v>-0.60220003</v>
      </c>
      <c r="CY130">
        <v>12.96</v>
      </c>
      <c r="CZ130">
        <v>21.14</v>
      </c>
      <c r="DA130" t="s">
        <v>244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9186000</v>
      </c>
      <c r="DH130">
        <v>2.62</v>
      </c>
      <c r="DI130">
        <v>2.41</v>
      </c>
      <c r="DJ130">
        <v>22899000</v>
      </c>
      <c r="DK130">
        <v>-13713000</v>
      </c>
      <c r="DL130">
        <v>16029000</v>
      </c>
      <c r="DM130">
        <v>50555000</v>
      </c>
      <c r="DN130">
        <v>-34526000</v>
      </c>
      <c r="DO130">
        <v>0.32</v>
      </c>
      <c r="DP130">
        <v>2.35</v>
      </c>
      <c r="DQ130">
        <v>0.7</v>
      </c>
      <c r="DR130">
        <v>3.16</v>
      </c>
      <c r="DS130">
        <v>12.96</v>
      </c>
      <c r="DT130">
        <v>21.14</v>
      </c>
      <c r="DU130">
        <v>3.16</v>
      </c>
      <c r="DV130">
        <v>13.17</v>
      </c>
      <c r="DW130">
        <v>38.14</v>
      </c>
      <c r="DX130">
        <v>2.31</v>
      </c>
      <c r="DY130">
        <v>0</v>
      </c>
      <c r="DZ130">
        <v>24</v>
      </c>
      <c r="EA130">
        <v>10</v>
      </c>
      <c r="EB130">
        <v>0</v>
      </c>
      <c r="EC130">
        <v>34</v>
      </c>
      <c r="ED130">
        <v>0</v>
      </c>
    </row>
    <row r="131" spans="1:134" hidden="1" x14ac:dyDescent="0.2">
      <c r="A131" t="s">
        <v>611</v>
      </c>
      <c r="B131" t="s">
        <v>612</v>
      </c>
      <c r="C131" t="s">
        <v>135</v>
      </c>
      <c r="D131" t="s">
        <v>163</v>
      </c>
      <c r="E131">
        <v>88326976</v>
      </c>
      <c r="F131">
        <v>15.87</v>
      </c>
      <c r="G131">
        <v>15.76</v>
      </c>
      <c r="H131">
        <v>15.78</v>
      </c>
      <c r="I131">
        <v>15.81</v>
      </c>
      <c r="J131">
        <v>15.55</v>
      </c>
      <c r="K131">
        <v>15.67</v>
      </c>
      <c r="L131">
        <v>15.62</v>
      </c>
      <c r="M131">
        <v>15.72</v>
      </c>
      <c r="N131">
        <v>15.75</v>
      </c>
      <c r="O131">
        <v>15.4</v>
      </c>
      <c r="P131">
        <v>0.25</v>
      </c>
      <c r="Q131">
        <v>15.09</v>
      </c>
      <c r="R131">
        <v>15.86</v>
      </c>
      <c r="S131">
        <v>15.52</v>
      </c>
      <c r="T131">
        <v>0.8</v>
      </c>
      <c r="U131">
        <v>15.66</v>
      </c>
      <c r="V131">
        <v>15.21</v>
      </c>
      <c r="W131">
        <v>14.95</v>
      </c>
      <c r="X131">
        <v>14.25</v>
      </c>
      <c r="Y131">
        <v>15.93</v>
      </c>
      <c r="Z131">
        <v>16.27</v>
      </c>
      <c r="AA131">
        <v>16.739999999999998</v>
      </c>
      <c r="AB131">
        <v>1200</v>
      </c>
      <c r="AC131">
        <v>1100</v>
      </c>
      <c r="AD131">
        <v>2800</v>
      </c>
      <c r="AE131">
        <v>5400</v>
      </c>
      <c r="AF131">
        <v>7700</v>
      </c>
      <c r="AG131" s="2">
        <f>AVERAGE(AB131:AF131)</f>
        <v>3640</v>
      </c>
      <c r="AH131">
        <v>0</v>
      </c>
      <c r="AI131">
        <v>1</v>
      </c>
      <c r="AJ131">
        <v>1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0</v>
      </c>
      <c r="AS131">
        <v>12.55</v>
      </c>
      <c r="AT131">
        <v>17.010000000000002</v>
      </c>
      <c r="AU131">
        <v>63.9</v>
      </c>
      <c r="AV131">
        <v>36.1</v>
      </c>
      <c r="AW131">
        <v>1</v>
      </c>
      <c r="AX131">
        <v>0</v>
      </c>
      <c r="AY131">
        <v>51.1</v>
      </c>
      <c r="AZ131">
        <v>51.9</v>
      </c>
      <c r="BA131">
        <v>49.4</v>
      </c>
      <c r="BB131">
        <v>50.3</v>
      </c>
      <c r="BC131">
        <v>44.7</v>
      </c>
      <c r="BD131">
        <v>0</v>
      </c>
      <c r="BE131">
        <v>23.6</v>
      </c>
      <c r="BF131">
        <v>32.6</v>
      </c>
      <c r="BG131">
        <v>0</v>
      </c>
      <c r="BH131">
        <v>0</v>
      </c>
      <c r="BI131">
        <v>9.1999999999999993</v>
      </c>
      <c r="BJ131">
        <v>0</v>
      </c>
      <c r="BK131">
        <v>0</v>
      </c>
      <c r="BL131">
        <v>0</v>
      </c>
      <c r="BM131">
        <v>1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 t="s">
        <v>137</v>
      </c>
      <c r="BV131">
        <v>20</v>
      </c>
      <c r="BW131">
        <v>20</v>
      </c>
      <c r="BX131">
        <v>20</v>
      </c>
      <c r="BY131">
        <v>0</v>
      </c>
      <c r="BZ131">
        <v>1</v>
      </c>
      <c r="CA131">
        <v>0</v>
      </c>
      <c r="CB131">
        <v>0</v>
      </c>
      <c r="CC131">
        <v>0</v>
      </c>
      <c r="CD131">
        <v>1</v>
      </c>
      <c r="CE131">
        <v>1</v>
      </c>
      <c r="CF131">
        <v>0</v>
      </c>
      <c r="CG131">
        <v>0</v>
      </c>
      <c r="CH131" t="s">
        <v>152</v>
      </c>
      <c r="CI131">
        <v>29.9</v>
      </c>
      <c r="CJ131" t="s">
        <v>139</v>
      </c>
      <c r="CK131">
        <v>0</v>
      </c>
      <c r="CL131">
        <v>20</v>
      </c>
      <c r="CM131" t="s">
        <v>613</v>
      </c>
      <c r="CN131">
        <v>1.5E-3</v>
      </c>
      <c r="CO131">
        <v>4.03</v>
      </c>
      <c r="CP131" t="s">
        <v>137</v>
      </c>
      <c r="CQ131" t="s">
        <v>137</v>
      </c>
      <c r="CR131" t="s">
        <v>137</v>
      </c>
      <c r="CS131" t="s">
        <v>137</v>
      </c>
      <c r="CT131" t="s">
        <v>137</v>
      </c>
      <c r="CU131" t="s">
        <v>137</v>
      </c>
      <c r="CV131" t="s">
        <v>137</v>
      </c>
      <c r="CW131" t="s">
        <v>137</v>
      </c>
      <c r="CX131">
        <v>7.4999999999999997E-3</v>
      </c>
      <c r="CY131">
        <v>11.16</v>
      </c>
      <c r="CZ131">
        <v>9.51</v>
      </c>
      <c r="DA131" t="s">
        <v>614</v>
      </c>
      <c r="DB131">
        <v>0</v>
      </c>
      <c r="DC131">
        <v>0</v>
      </c>
      <c r="DD131">
        <v>1</v>
      </c>
      <c r="DE131">
        <v>0</v>
      </c>
      <c r="DF131">
        <v>0</v>
      </c>
      <c r="DG131">
        <v>-1322000</v>
      </c>
      <c r="DH131">
        <v>-1.5</v>
      </c>
      <c r="DI131">
        <v>-4.01</v>
      </c>
      <c r="DJ131">
        <v>10456000</v>
      </c>
      <c r="DK131">
        <v>-11778000</v>
      </c>
      <c r="DL131">
        <v>45984000</v>
      </c>
      <c r="DM131">
        <v>111281000</v>
      </c>
      <c r="DN131">
        <v>-65297000</v>
      </c>
      <c r="DO131">
        <v>0.41</v>
      </c>
      <c r="DP131" t="s">
        <v>137</v>
      </c>
      <c r="DQ131" t="s">
        <v>137</v>
      </c>
      <c r="DR131" t="s">
        <v>137</v>
      </c>
      <c r="DS131">
        <v>11.16</v>
      </c>
      <c r="DT131">
        <v>9.51</v>
      </c>
      <c r="DU131" t="s">
        <v>137</v>
      </c>
      <c r="DV131" t="s">
        <v>137</v>
      </c>
      <c r="DW131" t="s">
        <v>137</v>
      </c>
      <c r="DX131">
        <v>2.59</v>
      </c>
      <c r="DY131">
        <v>0</v>
      </c>
      <c r="DZ131">
        <v>12</v>
      </c>
      <c r="EA131">
        <v>10</v>
      </c>
      <c r="EB131">
        <v>1</v>
      </c>
      <c r="EC131">
        <v>22</v>
      </c>
      <c r="ED131">
        <v>0</v>
      </c>
    </row>
    <row r="132" spans="1:134" hidden="1" x14ac:dyDescent="0.2">
      <c r="A132" s="2" t="s">
        <v>615</v>
      </c>
      <c r="B132" s="2" t="s">
        <v>616</v>
      </c>
      <c r="C132" s="2" t="s">
        <v>157</v>
      </c>
      <c r="D132" s="2" t="s">
        <v>617</v>
      </c>
      <c r="E132" s="2">
        <v>1331999232</v>
      </c>
      <c r="F132" s="2">
        <v>15.88</v>
      </c>
      <c r="G132" s="2">
        <v>15.86</v>
      </c>
      <c r="H132" s="2">
        <v>15.87</v>
      </c>
      <c r="I132" s="2">
        <v>15.66</v>
      </c>
      <c r="J132" s="2">
        <v>15.68</v>
      </c>
      <c r="K132" s="2">
        <v>15.54</v>
      </c>
      <c r="L132" s="2">
        <v>15.65</v>
      </c>
      <c r="M132" s="2">
        <v>15.51</v>
      </c>
      <c r="N132" s="2">
        <v>15.57</v>
      </c>
      <c r="O132" s="2">
        <v>15.64</v>
      </c>
      <c r="P132" s="2">
        <v>0.28000000000000003</v>
      </c>
      <c r="Q132" s="2">
        <v>15.16</v>
      </c>
      <c r="R132" s="2">
        <v>16.36</v>
      </c>
      <c r="S132" s="2">
        <v>15.64</v>
      </c>
      <c r="T132" s="2">
        <v>0</v>
      </c>
      <c r="U132" s="2">
        <v>15.82</v>
      </c>
      <c r="V132" s="2">
        <v>15.3</v>
      </c>
      <c r="W132" s="2">
        <v>15.1</v>
      </c>
      <c r="X132" s="2">
        <v>14.82</v>
      </c>
      <c r="Y132" s="2">
        <v>15.72</v>
      </c>
      <c r="Z132" s="2">
        <v>15.88</v>
      </c>
      <c r="AA132" s="2">
        <v>16.13</v>
      </c>
      <c r="AB132" s="2">
        <v>573000</v>
      </c>
      <c r="AC132" s="2">
        <v>523500</v>
      </c>
      <c r="AD132" s="2">
        <v>485900</v>
      </c>
      <c r="AE132" s="2">
        <v>344100</v>
      </c>
      <c r="AF132" s="2">
        <v>609000</v>
      </c>
      <c r="AG132" s="2">
        <f>AVERAGE(AB132:AF132)</f>
        <v>507100</v>
      </c>
      <c r="AH132" s="2">
        <v>0</v>
      </c>
      <c r="AI132" s="2">
        <v>0</v>
      </c>
      <c r="AJ132" s="2">
        <v>0</v>
      </c>
      <c r="AK132" s="2">
        <v>0</v>
      </c>
      <c r="AL132" s="2">
        <v>1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14.12</v>
      </c>
      <c r="AT132" s="2">
        <v>16.66</v>
      </c>
      <c r="AU132" s="2">
        <v>59.8</v>
      </c>
      <c r="AV132" s="2">
        <v>40.200000000000003</v>
      </c>
      <c r="AW132" s="2">
        <v>0</v>
      </c>
      <c r="AX132" s="2">
        <v>0</v>
      </c>
      <c r="AY132" s="2">
        <v>43.5</v>
      </c>
      <c r="AZ132" s="2">
        <v>39.1</v>
      </c>
      <c r="BA132" s="2">
        <v>36.700000000000003</v>
      </c>
      <c r="BB132" s="2">
        <v>36.1</v>
      </c>
      <c r="BC132" s="2">
        <v>40.6</v>
      </c>
      <c r="BD132" s="2">
        <v>1</v>
      </c>
      <c r="BE132" s="2">
        <v>5.4</v>
      </c>
      <c r="BF132" s="2">
        <v>1.8</v>
      </c>
      <c r="BG132" s="2">
        <v>0</v>
      </c>
      <c r="BH132" s="2">
        <v>0</v>
      </c>
      <c r="BI132" s="2">
        <v>23.8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1</v>
      </c>
      <c r="BR132" s="2">
        <v>0</v>
      </c>
      <c r="BS132" s="2">
        <v>0</v>
      </c>
      <c r="BT132" s="2">
        <v>0</v>
      </c>
      <c r="BU132" s="2" t="s">
        <v>137</v>
      </c>
      <c r="BV132" s="2">
        <v>18.875</v>
      </c>
      <c r="BW132" s="2">
        <v>23.5</v>
      </c>
      <c r="BX132" s="2">
        <v>16</v>
      </c>
      <c r="BY132" s="2">
        <v>2</v>
      </c>
      <c r="BZ132" s="2">
        <v>5</v>
      </c>
      <c r="CA132" s="2">
        <v>2</v>
      </c>
      <c r="CB132" s="2">
        <v>0</v>
      </c>
      <c r="CC132" s="2">
        <v>0</v>
      </c>
      <c r="CD132" s="2">
        <v>9</v>
      </c>
      <c r="CE132" s="2">
        <v>7</v>
      </c>
      <c r="CF132" s="2">
        <v>2</v>
      </c>
      <c r="CG132" s="2">
        <v>0</v>
      </c>
      <c r="CH132" s="2" t="s">
        <v>152</v>
      </c>
      <c r="CI132" s="2">
        <v>20.7</v>
      </c>
      <c r="CJ132" s="2" t="s">
        <v>139</v>
      </c>
      <c r="CK132" s="2">
        <v>1</v>
      </c>
      <c r="CL132" s="2">
        <v>18.88</v>
      </c>
      <c r="CM132" s="2" t="s">
        <v>618</v>
      </c>
      <c r="CN132" s="2">
        <v>1E-4</v>
      </c>
      <c r="CO132" s="2">
        <v>0.01</v>
      </c>
      <c r="CP132" s="2">
        <v>1</v>
      </c>
      <c r="CQ132" s="2" t="s">
        <v>137</v>
      </c>
      <c r="CR132" s="2">
        <v>3.7999999999999999E-2</v>
      </c>
      <c r="CS132" s="2">
        <v>0.04</v>
      </c>
      <c r="CT132" s="2">
        <v>-2.0000000000000022E-3</v>
      </c>
      <c r="CU132" s="2">
        <v>3.7999999999999999E-2</v>
      </c>
      <c r="CV132" s="2">
        <v>5</v>
      </c>
      <c r="CW132" s="2">
        <v>-0.24</v>
      </c>
      <c r="CX132" s="2">
        <v>1.1714</v>
      </c>
      <c r="CY132" s="2">
        <v>130.33000000000001</v>
      </c>
      <c r="CZ132" s="2">
        <v>92</v>
      </c>
      <c r="DA132" s="2" t="s">
        <v>286</v>
      </c>
      <c r="DB132" s="2">
        <v>1</v>
      </c>
      <c r="DC132" s="2">
        <v>0</v>
      </c>
      <c r="DD132" s="2">
        <v>3</v>
      </c>
      <c r="DE132" s="2">
        <v>0</v>
      </c>
      <c r="DF132" s="2">
        <v>0</v>
      </c>
      <c r="DG132" s="2">
        <v>81973000</v>
      </c>
      <c r="DH132" s="2">
        <v>6.15</v>
      </c>
      <c r="DI132" s="2">
        <v>30.24</v>
      </c>
      <c r="DJ132" s="2">
        <v>81973000</v>
      </c>
      <c r="DK132" s="2" t="s">
        <v>137</v>
      </c>
      <c r="DL132" s="2">
        <v>28622000</v>
      </c>
      <c r="DM132" s="2">
        <v>791886016</v>
      </c>
      <c r="DN132" s="2">
        <v>-763264016</v>
      </c>
      <c r="DO132" s="2">
        <v>0.04</v>
      </c>
      <c r="DP132" s="2">
        <v>1.59</v>
      </c>
      <c r="DQ132" s="2">
        <v>0.27</v>
      </c>
      <c r="DR132" s="2">
        <v>0.72</v>
      </c>
      <c r="DS132" s="2">
        <v>130.33000000000001</v>
      </c>
      <c r="DT132" s="2">
        <v>92</v>
      </c>
      <c r="DU132" s="2">
        <v>0.72</v>
      </c>
      <c r="DV132" s="2">
        <v>19.98</v>
      </c>
      <c r="DW132" s="2">
        <v>16.25</v>
      </c>
      <c r="DX132" s="2">
        <v>1.39</v>
      </c>
      <c r="DY132" s="2">
        <v>0</v>
      </c>
      <c r="DZ132" s="2">
        <v>15</v>
      </c>
      <c r="EA132" s="2">
        <v>10</v>
      </c>
      <c r="EB132" s="2">
        <v>1</v>
      </c>
      <c r="EC132" s="2">
        <v>25</v>
      </c>
      <c r="ED132" s="2">
        <v>0</v>
      </c>
    </row>
    <row r="133" spans="1:134" hidden="1" x14ac:dyDescent="0.2">
      <c r="A133" t="s">
        <v>619</v>
      </c>
      <c r="B133" t="s">
        <v>620</v>
      </c>
      <c r="C133" t="s">
        <v>135</v>
      </c>
      <c r="D133" t="s">
        <v>163</v>
      </c>
      <c r="E133">
        <v>426760256</v>
      </c>
      <c r="F133">
        <v>23.4</v>
      </c>
      <c r="G133">
        <v>23.13</v>
      </c>
      <c r="H133">
        <v>22.91</v>
      </c>
      <c r="I133">
        <v>22.87</v>
      </c>
      <c r="J133">
        <v>22.87</v>
      </c>
      <c r="K133">
        <v>22.99</v>
      </c>
      <c r="L133">
        <v>23.24</v>
      </c>
      <c r="M133">
        <v>23.16</v>
      </c>
      <c r="N133">
        <v>23.16</v>
      </c>
      <c r="O133">
        <v>23.1</v>
      </c>
      <c r="P133">
        <v>0.61</v>
      </c>
      <c r="Q133">
        <v>22.2</v>
      </c>
      <c r="R133">
        <v>24.45</v>
      </c>
      <c r="S133">
        <v>23.14</v>
      </c>
      <c r="T133">
        <v>0.2</v>
      </c>
      <c r="U133">
        <v>21.88</v>
      </c>
      <c r="V133">
        <v>22.51</v>
      </c>
      <c r="W133">
        <v>22.09</v>
      </c>
      <c r="X133">
        <v>21.74</v>
      </c>
      <c r="Y133">
        <v>23.26</v>
      </c>
      <c r="Z133">
        <v>23.64</v>
      </c>
      <c r="AA133">
        <v>23.89</v>
      </c>
      <c r="AB133">
        <v>172300</v>
      </c>
      <c r="AC133">
        <v>63600</v>
      </c>
      <c r="AD133">
        <v>87700</v>
      </c>
      <c r="AE133">
        <v>99600</v>
      </c>
      <c r="AF133">
        <v>107000</v>
      </c>
      <c r="AG133" s="2">
        <f>AVERAGE(AB133:AF133)</f>
        <v>106040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1</v>
      </c>
      <c r="AS133">
        <v>16.440000000000001</v>
      </c>
      <c r="AT133">
        <v>23.48</v>
      </c>
      <c r="AU133">
        <v>94.6</v>
      </c>
      <c r="AV133">
        <v>5.4</v>
      </c>
      <c r="AW133">
        <v>1</v>
      </c>
      <c r="AX133">
        <v>0</v>
      </c>
      <c r="AY133">
        <v>63.7</v>
      </c>
      <c r="AZ133">
        <v>58.4</v>
      </c>
      <c r="BA133">
        <v>60</v>
      </c>
      <c r="BB133">
        <v>62.3</v>
      </c>
      <c r="BC133">
        <v>61</v>
      </c>
      <c r="BD133">
        <v>0</v>
      </c>
      <c r="BE133">
        <v>39.799999999999997</v>
      </c>
      <c r="BF133">
        <v>37.4</v>
      </c>
      <c r="BG133">
        <v>0</v>
      </c>
      <c r="BH133">
        <v>0</v>
      </c>
      <c r="BI133">
        <v>35.4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 t="s">
        <v>137</v>
      </c>
      <c r="BV133">
        <v>24.35</v>
      </c>
      <c r="BW133">
        <v>27</v>
      </c>
      <c r="BX133">
        <v>22.5</v>
      </c>
      <c r="BY133">
        <v>2</v>
      </c>
      <c r="BZ133">
        <v>1</v>
      </c>
      <c r="CA133">
        <v>2</v>
      </c>
      <c r="CB133">
        <v>0</v>
      </c>
      <c r="CC133">
        <v>0</v>
      </c>
      <c r="CD133">
        <v>5</v>
      </c>
      <c r="CE133">
        <v>3</v>
      </c>
      <c r="CF133">
        <v>2</v>
      </c>
      <c r="CG133">
        <v>0</v>
      </c>
      <c r="CH133" t="s">
        <v>152</v>
      </c>
      <c r="CI133">
        <v>5.4</v>
      </c>
      <c r="CJ133" t="s">
        <v>139</v>
      </c>
      <c r="CK133">
        <v>1</v>
      </c>
      <c r="CL133">
        <v>24.35</v>
      </c>
      <c r="CM133" t="s">
        <v>621</v>
      </c>
      <c r="CN133">
        <v>2.3300000000000001E-2</v>
      </c>
      <c r="CO133">
        <v>5.4</v>
      </c>
      <c r="CP133">
        <v>4</v>
      </c>
      <c r="CQ133" t="s">
        <v>137</v>
      </c>
      <c r="CR133">
        <v>0.55600000000000005</v>
      </c>
      <c r="CS133">
        <v>0.51400000000000001</v>
      </c>
      <c r="CT133">
        <v>4.2000000000000037E-2</v>
      </c>
      <c r="CU133">
        <v>0.55600000000000005</v>
      </c>
      <c r="CV133">
        <v>5</v>
      </c>
      <c r="CW133">
        <v>0.22600001</v>
      </c>
      <c r="CX133">
        <v>0.30220000000000002</v>
      </c>
      <c r="CY133">
        <v>14.81</v>
      </c>
      <c r="CZ133">
        <v>9.91</v>
      </c>
      <c r="DA133" t="s">
        <v>214</v>
      </c>
      <c r="DB133">
        <v>0</v>
      </c>
      <c r="DC133">
        <v>0</v>
      </c>
      <c r="DD133">
        <v>0.5</v>
      </c>
      <c r="DE133">
        <v>0</v>
      </c>
      <c r="DF133">
        <v>0</v>
      </c>
      <c r="DG133">
        <v>42502000</v>
      </c>
      <c r="DH133">
        <v>9.9600000000000009</v>
      </c>
      <c r="DI133">
        <v>44.99</v>
      </c>
      <c r="DJ133">
        <v>42805000</v>
      </c>
      <c r="DK133">
        <v>-303000</v>
      </c>
      <c r="DL133">
        <v>124861000</v>
      </c>
      <c r="DM133">
        <v>299516000</v>
      </c>
      <c r="DN133">
        <v>-174655000</v>
      </c>
      <c r="DO133">
        <v>0.42</v>
      </c>
      <c r="DP133" t="s">
        <v>137</v>
      </c>
      <c r="DQ133" t="s">
        <v>137</v>
      </c>
      <c r="DR133" t="s">
        <v>137</v>
      </c>
      <c r="DS133">
        <v>14.81</v>
      </c>
      <c r="DT133">
        <v>9.91</v>
      </c>
      <c r="DU133" t="s">
        <v>137</v>
      </c>
      <c r="DV133" t="s">
        <v>137</v>
      </c>
      <c r="DW133">
        <v>10.039999999999999</v>
      </c>
      <c r="DX133">
        <v>0.26</v>
      </c>
      <c r="DY133">
        <v>0</v>
      </c>
      <c r="DZ133">
        <v>36</v>
      </c>
      <c r="EA133">
        <v>10</v>
      </c>
      <c r="EB133">
        <v>1</v>
      </c>
      <c r="EC133">
        <v>46</v>
      </c>
      <c r="ED133">
        <v>0</v>
      </c>
    </row>
    <row r="134" spans="1:134" hidden="1" x14ac:dyDescent="0.2">
      <c r="A134" s="2" t="s">
        <v>354</v>
      </c>
      <c r="B134" s="2" t="s">
        <v>355</v>
      </c>
      <c r="C134" s="2" t="s">
        <v>144</v>
      </c>
      <c r="D134" s="2" t="s">
        <v>356</v>
      </c>
      <c r="E134" s="2">
        <v>866379840</v>
      </c>
      <c r="F134" s="2">
        <v>29.28</v>
      </c>
      <c r="G134" s="2">
        <v>28.72</v>
      </c>
      <c r="H134" s="2">
        <v>28.61</v>
      </c>
      <c r="I134" s="2">
        <v>28.67</v>
      </c>
      <c r="J134" s="2">
        <v>28.57</v>
      </c>
      <c r="K134" s="2">
        <v>28.88</v>
      </c>
      <c r="L134" s="2">
        <v>29.1</v>
      </c>
      <c r="M134" s="2">
        <v>29.11</v>
      </c>
      <c r="N134" s="2">
        <v>29.34</v>
      </c>
      <c r="O134" s="2">
        <v>29.63</v>
      </c>
      <c r="P134" s="2">
        <v>0.72</v>
      </c>
      <c r="Q134" s="2">
        <v>28.3</v>
      </c>
      <c r="R134" s="2">
        <v>31.62</v>
      </c>
      <c r="S134" s="2">
        <v>29.68</v>
      </c>
      <c r="T134" s="2">
        <v>0.2</v>
      </c>
      <c r="U134" s="2">
        <v>28.61</v>
      </c>
      <c r="V134" s="2">
        <v>28.66</v>
      </c>
      <c r="W134" s="2">
        <v>28.1</v>
      </c>
      <c r="X134" s="2">
        <v>27.64</v>
      </c>
      <c r="Y134" s="2">
        <v>29.81</v>
      </c>
      <c r="Z134" s="2">
        <v>30.3</v>
      </c>
      <c r="AA134" s="2">
        <v>31.11</v>
      </c>
      <c r="AB134" s="2">
        <v>283600</v>
      </c>
      <c r="AC134" s="2">
        <v>222100</v>
      </c>
      <c r="AD134" s="2">
        <v>195600</v>
      </c>
      <c r="AE134" s="2">
        <v>150200</v>
      </c>
      <c r="AF134" s="2">
        <v>174000</v>
      </c>
      <c r="AG134" s="2">
        <f>AVERAGE(AB134:AF134)</f>
        <v>205100</v>
      </c>
      <c r="AH134" s="2">
        <v>0</v>
      </c>
      <c r="AI134" s="2">
        <v>1</v>
      </c>
      <c r="AJ134" s="2">
        <v>1</v>
      </c>
      <c r="AK134" s="2">
        <v>1</v>
      </c>
      <c r="AL134" s="2">
        <v>1</v>
      </c>
      <c r="AM134" s="2">
        <v>0</v>
      </c>
      <c r="AN134" s="2">
        <v>0</v>
      </c>
      <c r="AO134" s="2">
        <v>1</v>
      </c>
      <c r="AP134" s="2">
        <v>0</v>
      </c>
      <c r="AQ134" s="2">
        <v>1</v>
      </c>
      <c r="AR134" s="2">
        <v>1</v>
      </c>
      <c r="AS134" s="2">
        <v>19.88</v>
      </c>
      <c r="AT134" s="2">
        <v>29.8</v>
      </c>
      <c r="AU134" s="2">
        <v>98.3</v>
      </c>
      <c r="AV134" s="2">
        <v>1.7</v>
      </c>
      <c r="AW134" s="2">
        <v>0</v>
      </c>
      <c r="AX134" s="2">
        <v>1</v>
      </c>
      <c r="AY134" s="2">
        <v>49.2</v>
      </c>
      <c r="AZ134" s="2">
        <v>48.7</v>
      </c>
      <c r="BA134" s="2">
        <v>50.9</v>
      </c>
      <c r="BB134" s="2">
        <v>53.2</v>
      </c>
      <c r="BC134" s="2">
        <v>58.1</v>
      </c>
      <c r="BD134" s="2">
        <v>0</v>
      </c>
      <c r="BE134" s="2">
        <v>46</v>
      </c>
      <c r="BF134" s="2">
        <v>23.8</v>
      </c>
      <c r="BG134" s="2">
        <v>0</v>
      </c>
      <c r="BH134" s="2">
        <v>0</v>
      </c>
      <c r="BI134" s="2">
        <v>35.5</v>
      </c>
      <c r="BJ134" s="2">
        <v>1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 t="s">
        <v>137</v>
      </c>
      <c r="BV134" s="2">
        <v>34.5</v>
      </c>
      <c r="BW134" s="2">
        <v>40</v>
      </c>
      <c r="BX134" s="2">
        <v>29</v>
      </c>
      <c r="BY134" s="2">
        <v>0</v>
      </c>
      <c r="BZ134" s="2">
        <v>2</v>
      </c>
      <c r="CA134" s="2">
        <v>3</v>
      </c>
      <c r="CB134" s="2">
        <v>0</v>
      </c>
      <c r="CC134" s="2">
        <v>0</v>
      </c>
      <c r="CD134" s="2">
        <v>5</v>
      </c>
      <c r="CE134" s="2">
        <v>2</v>
      </c>
      <c r="CF134" s="2">
        <v>3</v>
      </c>
      <c r="CG134" s="2">
        <v>0</v>
      </c>
      <c r="CH134" s="2" t="s">
        <v>152</v>
      </c>
      <c r="CI134" s="2">
        <v>16.399999999999999</v>
      </c>
      <c r="CJ134" s="2" t="s">
        <v>139</v>
      </c>
      <c r="CK134" s="2">
        <v>0</v>
      </c>
      <c r="CL134" s="2">
        <v>34.5</v>
      </c>
      <c r="CM134" s="2" t="s">
        <v>357</v>
      </c>
      <c r="CN134" s="2">
        <v>6.9299996000000003E-2</v>
      </c>
      <c r="CO134" s="2">
        <v>6.68</v>
      </c>
      <c r="CP134" s="2">
        <v>0</v>
      </c>
      <c r="CQ134" s="2" t="s">
        <v>137</v>
      </c>
      <c r="CR134" s="2">
        <v>0.14000000000000001</v>
      </c>
      <c r="CS134" s="2">
        <v>0.19</v>
      </c>
      <c r="CT134" s="2">
        <v>-4.9999999999999989E-2</v>
      </c>
      <c r="CU134" s="2">
        <v>0.14000000000000001</v>
      </c>
      <c r="CV134" s="2">
        <v>1</v>
      </c>
      <c r="CW134" s="2">
        <v>-0.3</v>
      </c>
      <c r="CX134" s="2">
        <v>4.2900000000000001E-2</v>
      </c>
      <c r="CY134" s="2">
        <v>41.15</v>
      </c>
      <c r="CZ134" s="2">
        <v>33.479999999999997</v>
      </c>
      <c r="DA134" s="2" t="s">
        <v>286</v>
      </c>
      <c r="DB134" s="2">
        <v>0</v>
      </c>
      <c r="DC134" s="2">
        <v>1</v>
      </c>
      <c r="DD134" s="2">
        <v>1</v>
      </c>
      <c r="DE134" s="2">
        <v>0</v>
      </c>
      <c r="DF134" s="2">
        <v>0</v>
      </c>
      <c r="DG134" s="2">
        <v>31156000</v>
      </c>
      <c r="DH134" s="2">
        <v>3.6</v>
      </c>
      <c r="DI134" s="2">
        <v>9.6999999999999993</v>
      </c>
      <c r="DJ134" s="2">
        <v>63319000</v>
      </c>
      <c r="DK134" s="2">
        <v>-32163000</v>
      </c>
      <c r="DL134" s="2">
        <v>66731000</v>
      </c>
      <c r="DM134" s="2">
        <v>13429000</v>
      </c>
      <c r="DN134" s="2">
        <v>53302000</v>
      </c>
      <c r="DO134" s="2">
        <v>4.97</v>
      </c>
      <c r="DP134" s="2">
        <v>1.06</v>
      </c>
      <c r="DQ134" s="2">
        <v>0.84</v>
      </c>
      <c r="DR134" s="2">
        <v>2.84</v>
      </c>
      <c r="DS134" s="2">
        <v>41.15</v>
      </c>
      <c r="DT134" s="2">
        <v>33.479999999999997</v>
      </c>
      <c r="DU134" s="2">
        <v>2.84</v>
      </c>
      <c r="DV134" s="2">
        <v>18.11</v>
      </c>
      <c r="DW134" s="2">
        <v>27.81</v>
      </c>
      <c r="DX134" s="2">
        <v>0</v>
      </c>
      <c r="DY134" s="2">
        <v>0</v>
      </c>
      <c r="DZ134" s="2">
        <v>15</v>
      </c>
      <c r="EA134" s="2">
        <v>0</v>
      </c>
      <c r="EB134" s="2">
        <v>0</v>
      </c>
      <c r="EC134" s="2">
        <v>15</v>
      </c>
      <c r="ED134" s="2">
        <v>0</v>
      </c>
    </row>
    <row r="135" spans="1:134" hidden="1" x14ac:dyDescent="0.2">
      <c r="A135" s="2" t="s">
        <v>401</v>
      </c>
      <c r="B135" s="2" t="s">
        <v>402</v>
      </c>
      <c r="C135" s="2" t="s">
        <v>241</v>
      </c>
      <c r="D135" s="2" t="s">
        <v>403</v>
      </c>
      <c r="E135" s="2">
        <v>808545856</v>
      </c>
      <c r="F135" s="2">
        <v>4.4000000000000004</v>
      </c>
      <c r="G135" s="2">
        <v>4.5599999999999996</v>
      </c>
      <c r="H135" s="2">
        <v>4.54</v>
      </c>
      <c r="I135" s="2">
        <v>4.26</v>
      </c>
      <c r="J135" s="2">
        <v>4.17</v>
      </c>
      <c r="K135" s="2">
        <v>4.3899999999999997</v>
      </c>
      <c r="L135" s="2">
        <v>4.3899999999999997</v>
      </c>
      <c r="M135" s="2">
        <v>4.5599999999999996</v>
      </c>
      <c r="N135" s="2">
        <v>4.3</v>
      </c>
      <c r="O135" s="2">
        <v>4.3499999999999996</v>
      </c>
      <c r="P135" s="2">
        <v>0.27</v>
      </c>
      <c r="Q135" s="2">
        <v>4.0599999999999996</v>
      </c>
      <c r="R135" s="2">
        <v>4.78</v>
      </c>
      <c r="S135" s="2">
        <v>4.3499999999999996</v>
      </c>
      <c r="T135" s="2">
        <v>0</v>
      </c>
      <c r="U135" s="2">
        <v>4.26</v>
      </c>
      <c r="V135" s="2">
        <v>4.2</v>
      </c>
      <c r="W135" s="2">
        <v>4.1399999999999997</v>
      </c>
      <c r="X135" s="2">
        <v>3.79</v>
      </c>
      <c r="Y135" s="2">
        <v>4.43</v>
      </c>
      <c r="Z135" s="2">
        <v>4.62</v>
      </c>
      <c r="AA135" s="2">
        <v>5.01</v>
      </c>
      <c r="AB135" s="2">
        <v>3820800</v>
      </c>
      <c r="AC135" s="2">
        <v>3245800</v>
      </c>
      <c r="AD135" s="2">
        <v>3192600</v>
      </c>
      <c r="AE135" s="2">
        <v>3315900</v>
      </c>
      <c r="AF135" s="2">
        <v>2587700</v>
      </c>
      <c r="AG135" s="2">
        <f>AVERAGE(AB135:AF135)</f>
        <v>3232560</v>
      </c>
      <c r="AH135" s="2">
        <v>1</v>
      </c>
      <c r="AI135" s="2">
        <v>0</v>
      </c>
      <c r="AJ135" s="2">
        <v>1</v>
      </c>
      <c r="AK135" s="2">
        <v>1</v>
      </c>
      <c r="AL135" s="2">
        <v>1</v>
      </c>
      <c r="AM135" s="2">
        <v>0</v>
      </c>
      <c r="AN135" s="2">
        <v>0</v>
      </c>
      <c r="AO135" s="2">
        <v>1</v>
      </c>
      <c r="AP135" s="2">
        <v>0</v>
      </c>
      <c r="AQ135" s="2">
        <v>0</v>
      </c>
      <c r="AR135" s="2">
        <v>1</v>
      </c>
      <c r="AS135" s="2">
        <v>1.82</v>
      </c>
      <c r="AT135" s="2">
        <v>6.39</v>
      </c>
      <c r="AU135" s="2">
        <v>55.4</v>
      </c>
      <c r="AV135" s="2">
        <v>44.6</v>
      </c>
      <c r="AW135" s="2">
        <v>0</v>
      </c>
      <c r="AX135" s="2">
        <v>0</v>
      </c>
      <c r="AY135" s="2">
        <v>51.4</v>
      </c>
      <c r="AZ135" s="2">
        <v>45.8</v>
      </c>
      <c r="BA135" s="2">
        <v>48.4</v>
      </c>
      <c r="BB135" s="2">
        <v>51.7</v>
      </c>
      <c r="BC135" s="2">
        <v>47.7</v>
      </c>
      <c r="BD135" s="2">
        <v>0</v>
      </c>
      <c r="BE135" s="2">
        <v>45.4</v>
      </c>
      <c r="BF135" s="2">
        <v>38.1</v>
      </c>
      <c r="BG135" s="2">
        <v>0</v>
      </c>
      <c r="BH135" s="2">
        <v>0</v>
      </c>
      <c r="BI135" s="2">
        <v>13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 t="s">
        <v>137</v>
      </c>
      <c r="BV135" s="2">
        <v>8.6666699999999999</v>
      </c>
      <c r="BW135" s="2">
        <v>12</v>
      </c>
      <c r="BX135" s="2">
        <v>6.5</v>
      </c>
      <c r="BY135" s="2">
        <v>0</v>
      </c>
      <c r="BZ135" s="2">
        <v>6</v>
      </c>
      <c r="CA135" s="2">
        <v>0</v>
      </c>
      <c r="CB135" s="2">
        <v>0</v>
      </c>
      <c r="CC135" s="2">
        <v>0</v>
      </c>
      <c r="CD135" s="2">
        <v>6</v>
      </c>
      <c r="CE135" s="2">
        <v>6</v>
      </c>
      <c r="CF135" s="2">
        <v>0</v>
      </c>
      <c r="CG135" s="2">
        <v>0</v>
      </c>
      <c r="CH135" s="2" t="s">
        <v>152</v>
      </c>
      <c r="CI135" s="2">
        <v>99.2</v>
      </c>
      <c r="CJ135" s="2" t="s">
        <v>139</v>
      </c>
      <c r="CK135" s="2">
        <v>0</v>
      </c>
      <c r="CL135" s="2">
        <v>9.1</v>
      </c>
      <c r="CM135" s="2" t="s">
        <v>404</v>
      </c>
      <c r="CN135" s="2">
        <v>0.1464</v>
      </c>
      <c r="CO135" s="2">
        <v>6.26</v>
      </c>
      <c r="CP135" s="2">
        <v>0</v>
      </c>
      <c r="CQ135" s="2" t="s">
        <v>137</v>
      </c>
      <c r="CR135" s="2">
        <v>-1.4999999999999999E-2</v>
      </c>
      <c r="CS135" s="2">
        <v>-0.01</v>
      </c>
      <c r="CT135" s="2">
        <v>-4.9999999999999992E-3</v>
      </c>
      <c r="CU135" s="2">
        <v>-1.4999999999999999E-2</v>
      </c>
      <c r="CV135" s="2">
        <v>6</v>
      </c>
      <c r="CW135" s="2">
        <v>0.5</v>
      </c>
      <c r="CX135" s="2">
        <v>-3.3330000000000002</v>
      </c>
      <c r="CY135" s="2">
        <v>108.75</v>
      </c>
      <c r="CZ135" s="2">
        <v>-108.75</v>
      </c>
      <c r="DA135" s="2" t="s">
        <v>141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-16975825</v>
      </c>
      <c r="DH135" s="2">
        <v>-2.1</v>
      </c>
      <c r="DI135" s="2">
        <v>-38.92</v>
      </c>
      <c r="DJ135" s="2">
        <v>-15538486</v>
      </c>
      <c r="DK135" s="2">
        <v>-1437339</v>
      </c>
      <c r="DL135" s="2">
        <v>24876516</v>
      </c>
      <c r="DM135" s="2">
        <v>1162596</v>
      </c>
      <c r="DN135" s="2">
        <v>23713920</v>
      </c>
      <c r="DO135" s="2">
        <v>21.4</v>
      </c>
      <c r="DP135" s="2">
        <v>2.1800000000000002</v>
      </c>
      <c r="DQ135" s="2">
        <v>1.25</v>
      </c>
      <c r="DR135" s="2">
        <v>8.75</v>
      </c>
      <c r="DS135" s="2">
        <v>108.75</v>
      </c>
      <c r="DT135" s="2">
        <v>-108.75</v>
      </c>
      <c r="DU135" s="2">
        <v>8.75</v>
      </c>
      <c r="DV135" s="2">
        <v>-53.1</v>
      </c>
      <c r="DW135" s="2" t="s">
        <v>137</v>
      </c>
      <c r="DX135" s="2">
        <v>4.6100000000000003</v>
      </c>
      <c r="DY135" s="2">
        <v>0</v>
      </c>
      <c r="DZ135" s="2">
        <v>15</v>
      </c>
      <c r="EA135" s="2">
        <v>0</v>
      </c>
      <c r="EB135" s="2">
        <v>0</v>
      </c>
      <c r="EC135" s="2">
        <v>15</v>
      </c>
      <c r="ED135" s="2">
        <v>0</v>
      </c>
    </row>
    <row r="136" spans="1:134" hidden="1" x14ac:dyDescent="0.2">
      <c r="A136" t="s">
        <v>434</v>
      </c>
      <c r="B136" t="s">
        <v>435</v>
      </c>
      <c r="C136" t="s">
        <v>279</v>
      </c>
      <c r="D136" t="s">
        <v>436</v>
      </c>
      <c r="E136">
        <v>651795072</v>
      </c>
      <c r="F136">
        <v>12.6</v>
      </c>
      <c r="G136">
        <v>12.56</v>
      </c>
      <c r="H136">
        <v>12.61</v>
      </c>
      <c r="I136">
        <v>12.44</v>
      </c>
      <c r="J136">
        <v>12.31</v>
      </c>
      <c r="K136">
        <v>12.33</v>
      </c>
      <c r="L136">
        <v>12.54</v>
      </c>
      <c r="M136">
        <v>11.94</v>
      </c>
      <c r="N136">
        <v>11.9</v>
      </c>
      <c r="O136">
        <v>11.81</v>
      </c>
      <c r="P136">
        <v>0.44</v>
      </c>
      <c r="Q136">
        <v>11.53</v>
      </c>
      <c r="R136">
        <v>12.23</v>
      </c>
      <c r="S136">
        <v>11.84</v>
      </c>
      <c r="T136">
        <v>0.3</v>
      </c>
      <c r="U136">
        <v>10.41</v>
      </c>
      <c r="V136">
        <v>11.75</v>
      </c>
      <c r="W136">
        <v>8.4700000000000006</v>
      </c>
      <c r="X136">
        <v>8.3000000000000007</v>
      </c>
      <c r="Y136">
        <v>12.75</v>
      </c>
      <c r="Z136">
        <v>13.55</v>
      </c>
      <c r="AA136" t="s">
        <v>137</v>
      </c>
      <c r="AB136">
        <v>574400</v>
      </c>
      <c r="AC136">
        <v>452300</v>
      </c>
      <c r="AD136">
        <v>379700</v>
      </c>
      <c r="AE136">
        <v>428200</v>
      </c>
      <c r="AF136">
        <v>427100</v>
      </c>
      <c r="AG136" s="2">
        <f>AVERAGE(AB136:AF136)</f>
        <v>452340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7.22</v>
      </c>
      <c r="AT136">
        <v>15.05</v>
      </c>
      <c r="AU136">
        <v>58.6</v>
      </c>
      <c r="AV136">
        <v>41.4</v>
      </c>
      <c r="AW136">
        <v>0</v>
      </c>
      <c r="AX136">
        <v>0</v>
      </c>
      <c r="AY136">
        <v>67.2</v>
      </c>
      <c r="AZ136">
        <v>64.400000000000006</v>
      </c>
      <c r="BA136">
        <v>61.9</v>
      </c>
      <c r="BB136">
        <v>53.8</v>
      </c>
      <c r="BC136">
        <v>51.4</v>
      </c>
      <c r="BD136">
        <v>0</v>
      </c>
      <c r="BE136">
        <v>2.2000000000000002</v>
      </c>
      <c r="BF136">
        <v>13.6</v>
      </c>
      <c r="BG136">
        <v>0</v>
      </c>
      <c r="BH136">
        <v>0</v>
      </c>
      <c r="BI136">
        <v>39.700000000000003</v>
      </c>
      <c r="BJ136">
        <v>1</v>
      </c>
      <c r="BK136">
        <v>1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 t="s">
        <v>137</v>
      </c>
      <c r="BV136">
        <v>21</v>
      </c>
      <c r="BW136">
        <v>21</v>
      </c>
      <c r="BX136">
        <v>21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 t="s">
        <v>152</v>
      </c>
      <c r="CI136">
        <v>77.8</v>
      </c>
      <c r="CJ136" t="s">
        <v>139</v>
      </c>
      <c r="CK136">
        <v>0</v>
      </c>
      <c r="CL136">
        <v>21</v>
      </c>
      <c r="CM136" t="s">
        <v>437</v>
      </c>
      <c r="CN136">
        <v>2.5000000000000001E-2</v>
      </c>
      <c r="CO136">
        <v>1.98</v>
      </c>
      <c r="CP136">
        <v>0</v>
      </c>
      <c r="CQ136" t="s">
        <v>137</v>
      </c>
      <c r="CR136">
        <v>0.25</v>
      </c>
      <c r="CS136">
        <v>0.34</v>
      </c>
      <c r="CT136">
        <v>-9.0000000000000024E-2</v>
      </c>
      <c r="CU136">
        <v>0.25</v>
      </c>
      <c r="CV136">
        <v>1</v>
      </c>
      <c r="CW136">
        <v>-0.35900003000000003</v>
      </c>
      <c r="CX136">
        <v>0.38569999999999999</v>
      </c>
      <c r="CY136">
        <v>7.2</v>
      </c>
      <c r="CZ136">
        <v>9.4499999999999993</v>
      </c>
      <c r="DA136" t="s">
        <v>244</v>
      </c>
      <c r="DB136">
        <v>0</v>
      </c>
      <c r="DC136">
        <v>0</v>
      </c>
      <c r="DD136">
        <v>1.5</v>
      </c>
      <c r="DE136">
        <v>0</v>
      </c>
      <c r="DF136">
        <v>0</v>
      </c>
      <c r="DG136">
        <v>93800000</v>
      </c>
      <c r="DH136">
        <v>14.39</v>
      </c>
      <c r="DI136">
        <v>4.72</v>
      </c>
      <c r="DJ136">
        <v>133800000</v>
      </c>
      <c r="DK136">
        <v>-40000000</v>
      </c>
      <c r="DL136">
        <v>67500000</v>
      </c>
      <c r="DM136">
        <v>1034899968</v>
      </c>
      <c r="DN136">
        <v>-967399968</v>
      </c>
      <c r="DO136">
        <v>7.0000000000000007E-2</v>
      </c>
      <c r="DP136">
        <v>1.98</v>
      </c>
      <c r="DQ136">
        <v>0.87</v>
      </c>
      <c r="DR136">
        <v>3.77</v>
      </c>
      <c r="DS136">
        <v>7.2</v>
      </c>
      <c r="DT136">
        <v>9.4499999999999993</v>
      </c>
      <c r="DU136">
        <v>3.77</v>
      </c>
      <c r="DV136">
        <v>7.43</v>
      </c>
      <c r="DW136">
        <v>6.95</v>
      </c>
      <c r="DX136">
        <v>5.97</v>
      </c>
      <c r="DY136">
        <v>0</v>
      </c>
      <c r="DZ136">
        <v>7</v>
      </c>
      <c r="EA136">
        <v>20</v>
      </c>
      <c r="EB136">
        <v>2</v>
      </c>
      <c r="EC136">
        <v>27</v>
      </c>
      <c r="ED136">
        <v>0</v>
      </c>
    </row>
    <row r="137" spans="1:134" hidden="1" x14ac:dyDescent="0.2">
      <c r="A137" s="2" t="s">
        <v>273</v>
      </c>
      <c r="B137" s="2" t="s">
        <v>274</v>
      </c>
      <c r="C137" s="2" t="s">
        <v>241</v>
      </c>
      <c r="D137" s="2" t="s">
        <v>275</v>
      </c>
      <c r="E137" s="2">
        <v>207352848</v>
      </c>
      <c r="F137" s="2">
        <v>4.49</v>
      </c>
      <c r="G137" s="2">
        <v>4.3</v>
      </c>
      <c r="H137" s="2">
        <v>4.34</v>
      </c>
      <c r="I137" s="2">
        <v>4.5199999999999996</v>
      </c>
      <c r="J137" s="2">
        <v>4.5</v>
      </c>
      <c r="K137" s="2">
        <v>4.47</v>
      </c>
      <c r="L137" s="2">
        <v>4.49</v>
      </c>
      <c r="M137" s="2">
        <v>4.53</v>
      </c>
      <c r="N137" s="2">
        <v>4.5</v>
      </c>
      <c r="O137" s="2">
        <v>4.8</v>
      </c>
      <c r="P137" s="2">
        <v>0.31</v>
      </c>
      <c r="Q137" s="2">
        <v>3.91</v>
      </c>
      <c r="R137" s="2">
        <v>6.14</v>
      </c>
      <c r="S137" s="2">
        <v>4.8</v>
      </c>
      <c r="T137" s="2">
        <v>0.1</v>
      </c>
      <c r="U137" s="2">
        <v>4.1399999999999997</v>
      </c>
      <c r="V137" s="2">
        <v>4.0599999999999996</v>
      </c>
      <c r="W137" s="2">
        <v>3.98</v>
      </c>
      <c r="X137" s="2">
        <v>3.93</v>
      </c>
      <c r="Y137" s="2" t="s">
        <v>137</v>
      </c>
      <c r="Z137" s="2" t="s">
        <v>137</v>
      </c>
      <c r="AA137" s="2" t="s">
        <v>137</v>
      </c>
      <c r="AB137" s="2">
        <v>481800</v>
      </c>
      <c r="AC137" s="2">
        <v>239700</v>
      </c>
      <c r="AD137" s="2">
        <v>171300</v>
      </c>
      <c r="AE137" s="2">
        <v>254000</v>
      </c>
      <c r="AF137" s="2">
        <v>398300</v>
      </c>
      <c r="AG137" s="2">
        <f>AVERAGE(AB137:AF137)</f>
        <v>309020</v>
      </c>
      <c r="AH137" s="2">
        <v>0</v>
      </c>
      <c r="AI137" s="2">
        <v>1</v>
      </c>
      <c r="AJ137" s="2">
        <v>0</v>
      </c>
      <c r="AK137" s="2">
        <v>1</v>
      </c>
      <c r="AL137" s="2">
        <v>1</v>
      </c>
      <c r="AM137" s="2">
        <v>0</v>
      </c>
      <c r="AN137" s="2">
        <v>1</v>
      </c>
      <c r="AO137" s="2">
        <v>0</v>
      </c>
      <c r="AP137" s="2">
        <v>0</v>
      </c>
      <c r="AQ137" s="2">
        <v>0</v>
      </c>
      <c r="AR137" s="2">
        <v>1</v>
      </c>
      <c r="AS137" s="2">
        <v>1.5</v>
      </c>
      <c r="AT137" s="2">
        <v>4.8</v>
      </c>
      <c r="AU137" s="2">
        <v>100</v>
      </c>
      <c r="AV137" s="2">
        <v>0</v>
      </c>
      <c r="AW137" s="2">
        <v>1</v>
      </c>
      <c r="AX137" s="2">
        <v>1</v>
      </c>
      <c r="AY137" s="2">
        <v>52.3</v>
      </c>
      <c r="AZ137" s="2">
        <v>57.7</v>
      </c>
      <c r="BA137" s="2">
        <v>56.1</v>
      </c>
      <c r="BB137" s="2">
        <v>57.6</v>
      </c>
      <c r="BC137" s="2">
        <v>63.6</v>
      </c>
      <c r="BD137" s="2">
        <v>0</v>
      </c>
      <c r="BE137" s="2">
        <v>69.8</v>
      </c>
      <c r="BF137" s="2">
        <v>56.9</v>
      </c>
      <c r="BG137" s="2">
        <v>0</v>
      </c>
      <c r="BH137" s="2">
        <v>0</v>
      </c>
      <c r="BI137" s="2">
        <v>10.4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 t="s">
        <v>137</v>
      </c>
      <c r="BV137" s="2">
        <v>6.75</v>
      </c>
      <c r="BW137" s="2">
        <v>10</v>
      </c>
      <c r="BX137" s="2">
        <v>5</v>
      </c>
      <c r="BY137" s="2">
        <v>1</v>
      </c>
      <c r="BZ137" s="2">
        <v>2</v>
      </c>
      <c r="CA137" s="2">
        <v>0</v>
      </c>
      <c r="CB137" s="2">
        <v>0</v>
      </c>
      <c r="CC137" s="2">
        <v>0</v>
      </c>
      <c r="CD137" s="2">
        <v>3</v>
      </c>
      <c r="CE137" s="2">
        <v>3</v>
      </c>
      <c r="CF137" s="2">
        <v>0</v>
      </c>
      <c r="CG137" s="2">
        <v>0</v>
      </c>
      <c r="CH137" s="2" t="s">
        <v>152</v>
      </c>
      <c r="CI137" s="2">
        <v>40.6</v>
      </c>
      <c r="CJ137" s="2" t="s">
        <v>139</v>
      </c>
      <c r="CK137" s="2">
        <v>0</v>
      </c>
      <c r="CL137" s="2">
        <v>6.31</v>
      </c>
      <c r="CM137" s="2" t="s">
        <v>276</v>
      </c>
      <c r="CN137" s="2">
        <v>5.8999997999999998E-3</v>
      </c>
      <c r="CO137" s="2">
        <v>0.83</v>
      </c>
      <c r="CP137" s="2">
        <v>0</v>
      </c>
      <c r="CQ137" s="2" t="s">
        <v>137</v>
      </c>
      <c r="CR137" s="2">
        <v>5.5E-2</v>
      </c>
      <c r="CS137" s="2">
        <v>6.5000000000000002E-2</v>
      </c>
      <c r="CT137" s="2">
        <v>-0.01</v>
      </c>
      <c r="CU137" s="2">
        <v>5.5E-2</v>
      </c>
      <c r="CV137" s="2">
        <v>2</v>
      </c>
      <c r="CW137" s="2">
        <v>-0.38889997999999998</v>
      </c>
      <c r="CX137" s="2">
        <v>-1.72E-2</v>
      </c>
      <c r="CY137" s="2">
        <v>160</v>
      </c>
      <c r="CZ137" s="2">
        <v>21.33</v>
      </c>
      <c r="DA137" s="2" t="s">
        <v>183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13793000</v>
      </c>
      <c r="DH137" s="2">
        <v>6.65</v>
      </c>
      <c r="DI137" s="2">
        <v>11.08</v>
      </c>
      <c r="DJ137" s="2">
        <v>21102000</v>
      </c>
      <c r="DK137" s="2">
        <v>-7309000</v>
      </c>
      <c r="DL137" s="2">
        <v>7613000</v>
      </c>
      <c r="DM137" s="2">
        <v>27132000</v>
      </c>
      <c r="DN137" s="2">
        <v>-19519000</v>
      </c>
      <c r="DO137" s="2">
        <v>0.28000000000000003</v>
      </c>
      <c r="DP137" s="2">
        <v>0.44</v>
      </c>
      <c r="DQ137" s="2">
        <v>0.39</v>
      </c>
      <c r="DR137" s="2">
        <v>1.56</v>
      </c>
      <c r="DS137" s="2">
        <v>160</v>
      </c>
      <c r="DT137" s="2">
        <v>21.33</v>
      </c>
      <c r="DU137" s="2">
        <v>1.56</v>
      </c>
      <c r="DV137" s="2">
        <v>9.52</v>
      </c>
      <c r="DW137" s="2">
        <v>15.03</v>
      </c>
      <c r="DX137" s="2">
        <v>0</v>
      </c>
      <c r="DY137" s="2">
        <v>0</v>
      </c>
      <c r="DZ137" s="2">
        <v>5</v>
      </c>
      <c r="EA137" s="2">
        <v>30</v>
      </c>
      <c r="EB137" s="2">
        <v>3</v>
      </c>
      <c r="EC137" s="2">
        <v>35</v>
      </c>
      <c r="ED137" s="2">
        <v>0</v>
      </c>
    </row>
    <row r="138" spans="1:134" hidden="1" x14ac:dyDescent="0.2">
      <c r="A138" t="s">
        <v>637</v>
      </c>
      <c r="B138" t="s">
        <v>638</v>
      </c>
      <c r="C138" t="s">
        <v>171</v>
      </c>
      <c r="D138" t="s">
        <v>172</v>
      </c>
      <c r="E138">
        <v>536516896</v>
      </c>
      <c r="F138">
        <v>34.090000000000003</v>
      </c>
      <c r="G138">
        <v>34.17</v>
      </c>
      <c r="H138">
        <v>34.1</v>
      </c>
      <c r="I138">
        <v>33.69</v>
      </c>
      <c r="J138">
        <v>33.71</v>
      </c>
      <c r="K138">
        <v>33.35</v>
      </c>
      <c r="L138">
        <v>33.35</v>
      </c>
      <c r="M138">
        <v>33.17</v>
      </c>
      <c r="N138">
        <v>33.25</v>
      </c>
      <c r="O138">
        <v>33.06</v>
      </c>
      <c r="P138">
        <v>0.5</v>
      </c>
      <c r="Q138">
        <v>30.15</v>
      </c>
      <c r="R138">
        <v>37.43</v>
      </c>
      <c r="S138">
        <v>33.049999999999997</v>
      </c>
      <c r="T138">
        <v>0</v>
      </c>
      <c r="U138">
        <v>32.31</v>
      </c>
      <c r="V138">
        <v>30.4</v>
      </c>
      <c r="W138">
        <v>29.39</v>
      </c>
      <c r="X138">
        <v>29.03</v>
      </c>
      <c r="Y138">
        <v>34.43</v>
      </c>
      <c r="Z138">
        <v>34.81</v>
      </c>
      <c r="AA138" t="s">
        <v>137</v>
      </c>
      <c r="AB138">
        <v>137600</v>
      </c>
      <c r="AC138">
        <v>101400</v>
      </c>
      <c r="AD138">
        <v>131700</v>
      </c>
      <c r="AE138">
        <v>133900</v>
      </c>
      <c r="AF138">
        <v>160800</v>
      </c>
      <c r="AG138" s="2">
        <f t="shared" ref="AG131:AG138" si="0">AVERAGE(AB138:AF138)</f>
        <v>133080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29.01</v>
      </c>
      <c r="AT138">
        <v>34.58</v>
      </c>
      <c r="AU138">
        <v>72.7</v>
      </c>
      <c r="AV138">
        <v>27.3</v>
      </c>
      <c r="AW138">
        <v>1</v>
      </c>
      <c r="AX138">
        <v>0</v>
      </c>
      <c r="AY138">
        <v>62.8</v>
      </c>
      <c r="AZ138">
        <v>55.1</v>
      </c>
      <c r="BA138">
        <v>50.5</v>
      </c>
      <c r="BB138">
        <v>48.1</v>
      </c>
      <c r="BC138">
        <v>46.7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29.3</v>
      </c>
      <c r="BJ138">
        <v>1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 t="s">
        <v>137</v>
      </c>
      <c r="BV138">
        <v>31</v>
      </c>
      <c r="BW138">
        <v>31</v>
      </c>
      <c r="BX138">
        <v>31</v>
      </c>
      <c r="BY138">
        <v>0</v>
      </c>
      <c r="BZ138">
        <v>0</v>
      </c>
      <c r="CA138">
        <v>1</v>
      </c>
      <c r="CB138">
        <v>0</v>
      </c>
      <c r="CC138">
        <v>0</v>
      </c>
      <c r="CD138">
        <v>1</v>
      </c>
      <c r="CE138">
        <v>0</v>
      </c>
      <c r="CF138">
        <v>1</v>
      </c>
      <c r="CG138">
        <v>0</v>
      </c>
      <c r="CH138" t="s">
        <v>152</v>
      </c>
      <c r="CI138">
        <v>-6.2</v>
      </c>
      <c r="CJ138" t="s">
        <v>139</v>
      </c>
      <c r="CK138">
        <v>1</v>
      </c>
      <c r="CL138">
        <v>34</v>
      </c>
      <c r="CM138" t="s">
        <v>639</v>
      </c>
      <c r="CN138">
        <v>4.2799999999999998E-2</v>
      </c>
      <c r="CO138">
        <v>5.18</v>
      </c>
      <c r="CP138">
        <v>1</v>
      </c>
      <c r="CQ138" t="s">
        <v>137</v>
      </c>
      <c r="CR138">
        <v>0.5</v>
      </c>
      <c r="CS138">
        <v>0.48</v>
      </c>
      <c r="CT138">
        <v>2.0000000000000021E-2</v>
      </c>
      <c r="CU138">
        <v>0.5</v>
      </c>
      <c r="CV138">
        <v>1</v>
      </c>
      <c r="CW138">
        <v>0.16280001</v>
      </c>
      <c r="CX138">
        <v>0.20860000000000001</v>
      </c>
      <c r="CY138">
        <v>20.53</v>
      </c>
      <c r="CZ138">
        <v>21.61</v>
      </c>
      <c r="DA138" t="s">
        <v>148</v>
      </c>
      <c r="DB138">
        <v>0</v>
      </c>
      <c r="DC138">
        <v>0</v>
      </c>
      <c r="DD138">
        <v>0.5</v>
      </c>
      <c r="DE138">
        <v>0</v>
      </c>
      <c r="DF138">
        <v>0</v>
      </c>
      <c r="DG138">
        <v>-18865000</v>
      </c>
      <c r="DH138">
        <v>-3.52</v>
      </c>
      <c r="DI138">
        <v>-22.61</v>
      </c>
      <c r="DJ138">
        <v>29860000</v>
      </c>
      <c r="DK138">
        <v>-48725000</v>
      </c>
      <c r="DL138">
        <v>555000</v>
      </c>
      <c r="DM138">
        <v>190003008</v>
      </c>
      <c r="DN138">
        <v>-189448008</v>
      </c>
      <c r="DO138">
        <v>0</v>
      </c>
      <c r="DP138">
        <v>1.05</v>
      </c>
      <c r="DQ138">
        <v>0.77</v>
      </c>
      <c r="DR138">
        <v>4.0999999999999996</v>
      </c>
      <c r="DS138">
        <v>20.53</v>
      </c>
      <c r="DT138">
        <v>21.61</v>
      </c>
      <c r="DU138">
        <v>4.0999999999999996</v>
      </c>
      <c r="DV138">
        <v>15.95</v>
      </c>
      <c r="DW138" t="s">
        <v>137</v>
      </c>
      <c r="DX138">
        <v>3.25</v>
      </c>
      <c r="DY138">
        <v>0</v>
      </c>
      <c r="DZ138">
        <v>22</v>
      </c>
      <c r="EA138">
        <v>15</v>
      </c>
      <c r="EB138">
        <v>1</v>
      </c>
      <c r="EC138">
        <v>37</v>
      </c>
      <c r="ED138">
        <v>0</v>
      </c>
    </row>
  </sheetData>
  <autoFilter ref="A1:ED138" xr:uid="{00000000-0001-0000-0000-000000000000}">
    <filterColumn colId="2">
      <filters>
        <filter val="Basic_Materials"/>
        <filter val="Communication_Services"/>
        <filter val="Consumer_Cyclical"/>
        <filter val="Energy"/>
        <filter val="Healthcare"/>
        <filter val="Technology"/>
      </filters>
    </filterColumn>
    <filterColumn colId="32">
      <customFilters>
        <customFilter operator="greaterThanOrEqual" val="200000"/>
      </customFilters>
    </filterColumn>
    <filterColumn colId="97">
      <filters>
        <filter val="0"/>
        <filter val="0.01"/>
        <filter val="0.02633"/>
        <filter val="0.03"/>
        <filter val="0.0405"/>
        <filter val="0.046"/>
        <filter val="0.05667"/>
        <filter val="0.07"/>
      </filters>
    </filterColumn>
    <filterColumn colId="129">
      <customFilters>
        <customFilter operator="greaterThanOrEqual" val="40"/>
      </customFilters>
    </filterColumn>
    <filterColumn colId="130">
      <filters>
        <filter val="10"/>
        <filter val="20"/>
        <filter val="25"/>
        <filter val="30"/>
      </filters>
    </filterColumn>
    <filterColumn colId="132">
      <customFilters>
        <customFilter operator="greaterThanOrEqual" val="68"/>
      </customFilters>
    </filterColumn>
    <sortState xmlns:xlrd2="http://schemas.microsoft.com/office/spreadsheetml/2017/richdata2" ref="A3:ED137">
      <sortCondition descending="1" ref="DZ1:DZ13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Bassem Sayrafi</cp:lastModifiedBy>
  <dcterms:created xsi:type="dcterms:W3CDTF">2026-09-15T10:10:05Z</dcterms:created>
  <dcterms:modified xsi:type="dcterms:W3CDTF">2026-09-15T10:20:49Z</dcterms:modified>
</cp:coreProperties>
</file>